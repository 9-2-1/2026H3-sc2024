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0" yWindow="300" windowWidth="12120" windowHeight="9000" tabRatio="600" firstSheet="0" activeTab="1" autoFilterDateGrouping="1"/>
  </bookViews>
  <sheets>
    <sheet name="Information文档信息" sheetId="1" state="visible" r:id="rId1"/>
    <sheet name="Test Cases测试用例" sheetId="2" state="visible" r:id="rId2"/>
    <sheet name="Introduction使用说明" sheetId="3" state="visible" r:id="rId3"/>
  </sheets>
  <definedNames>
    <definedName name="Result">'Test Cases测试用例'!$N$2:$N$5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5">
    <font>
      <name val="Arial"/>
      <family val="2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i val="1"/>
      <color indexed="10"/>
      <sz val="11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i val="1"/>
      <color indexed="10"/>
      <sz val="11"/>
    </font>
    <font>
      <name val="Times New Roman"/>
      <family val="1"/>
      <color indexed="9"/>
      <sz val="12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color indexed="10"/>
      <sz val="12"/>
    </font>
  </fonts>
  <fills count="7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applyProtection="1" pivotButton="0" quotePrefix="0" xfId="0">
      <alignment horizontal="centerContinuous"/>
      <protection locked="0" hidden="0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applyProtection="1" pivotButton="0" quotePrefix="0" xfId="0">
      <alignment horizontal="centerContinuous"/>
      <protection locked="0" hidden="0"/>
    </xf>
    <xf numFmtId="49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/>
    </xf>
    <xf numFmtId="0" fontId="7" fillId="3" borderId="5" applyAlignment="1" applyProtection="1" pivotButton="0" quotePrefix="0" xfId="0">
      <alignment horizontal="centerContinuous"/>
      <protection locked="0" hidden="0"/>
    </xf>
    <xf numFmtId="0" fontId="7" fillId="3" borderId="6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7" fillId="6" borderId="0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applyProtection="1" pivotButton="0" quotePrefix="0" xfId="0">
      <alignment wrapText="1"/>
      <protection locked="0" hidden="0"/>
    </xf>
    <xf numFmtId="0" fontId="7" fillId="0" borderId="0" pivotButton="0" quotePrefix="0" xfId="0"/>
    <xf numFmtId="0" fontId="7" fillId="3" borderId="8" applyProtection="1" pivotButton="0" quotePrefix="0" xfId="0">
      <protection locked="0" hidden="0"/>
    </xf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0" fontId="7" fillId="3" borderId="3" applyAlignment="1" applyProtection="1" pivotButton="0" quotePrefix="0" xfId="0">
      <alignment horizontal="left" vertical="center" wrapText="1"/>
      <protection locked="0" hidden="0"/>
    </xf>
    <xf numFmtId="0" fontId="3" fillId="3" borderId="3" applyAlignment="1" applyProtection="1" pivotButton="0" quotePrefix="0" xfId="0">
      <alignment horizontal="left" vertical="top" wrapText="1"/>
      <protection locked="0" hidden="0"/>
    </xf>
    <xf numFmtId="0" fontId="0" fillId="0" borderId="4" applyProtection="1" pivotButton="0" quotePrefix="0" xfId="0">
      <protection locked="0" hidden="0"/>
    </xf>
    <xf numFmtId="164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spPr>
        <a:noFill/>
        <a:ln w="25400">
          <a:noFill/>
          <a:prstDash val="solid"/>
        </a:ln>
      </spPr>
      <txPr>
        <a:bodyPr/>
        <a:lstStyle/>
        <a:p>
          <a:pPr>
            <a:defRPr sz="105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w="25400">
              <a:noFill/>
              <a:prstDash val="solid"/>
            </a:ln>
          </spPr>
          <dPt>
            <idx val="0"/>
            <bubble3D val="0"/>
            <spPr>
              <a:solidFill>
                <a:srgbClr val="9999FF"/>
              </a:solidFill>
              <a:ln w="2540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993366"/>
              </a:solidFill>
              <a:ln w="2540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808000"/>
              </a:solidFill>
              <a:ln w="2540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FFCC99"/>
              </a:solidFill>
              <a:ln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legend>
    <plotVisOnly val="1"/>
    <dispBlanksAs val="zero"/>
  </chart>
  <spPr>
    <a:solidFill>
      <a:srgbClr val="FFFFFF"/>
    </a:solidFill>
    <a:ln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056" name="Picture 4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2400" y="104775"/>
          <a:ext cx="2828925" cy="3714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M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28125" defaultRowHeight="15.6"/>
  <cols>
    <col width="1.6328125" customWidth="1" style="43" min="1" max="1"/>
    <col width="16" customWidth="1" style="43" min="2" max="13"/>
    <col width="13" customWidth="1" min="3" max="3"/>
    <col width="10" customWidth="1" min="4" max="4"/>
    <col width="46" customWidth="1" min="5" max="5"/>
    <col width="24" customWidth="1" min="7" max="7"/>
    <col width="4" customWidth="1" min="8" max="8"/>
    <col width="14" customWidth="1" min="10" max="10"/>
    <col width="7.6328125" customWidth="1" style="43" min="14" max="15"/>
    <col width="11.6328125" customWidth="1" style="43" min="16" max="16384"/>
  </cols>
  <sheetData>
    <row r="1" ht="9.9" customHeight="1"/>
    <row r="2" ht="23.4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" customHeight="1"/>
    <row r="6" ht="16.2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" customHeight="1">
      <c r="B7" s="9" t="inlineStr">
        <is>
          <t>Product Verion 产品版本</t>
        </is>
      </c>
      <c r="C7" s="9" t="n"/>
      <c r="D7" s="9" t="n"/>
      <c r="E7" s="57" t="inlineStr">
        <is>
          <t>v1.0（2024 种子杯参赛提交版本）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> </t>
        </is>
      </c>
      <c r="K7" s="11" t="n"/>
      <c r="L7" s="10" t="n"/>
    </row>
    <row r="8" ht="16.2" customHeight="1">
      <c r="B8" s="9" t="inlineStr">
        <is>
          <t>Project Name 项目名称</t>
        </is>
      </c>
      <c r="C8" s="9" t="n"/>
      <c r="D8" s="9" t="n"/>
      <c r="E8" s="57" t="inlineStr">
        <is>
          <t>种子杯 2024 机械臂避障抓取——算法核心模块自动化测试</t>
        </is>
      </c>
      <c r="F8" s="11" t="n"/>
      <c r="G8" s="9" t="inlineStr">
        <is>
          <t>Project ID 项目ID</t>
        </is>
      </c>
      <c r="H8" s="9" t="n"/>
      <c r="I8" s="9" t="n"/>
      <c r="J8" s="57" t="inlineStr">
        <is>
          <t>SEEDCUP-2024-ALG</t>
        </is>
      </c>
      <c r="K8" s="11" t="n"/>
      <c r="L8" s="10" t="n"/>
    </row>
    <row r="9" ht="16.2" customHeight="1">
      <c r="B9" s="9" t="inlineStr">
        <is>
          <t>Prepared by 拟制</t>
        </is>
      </c>
      <c r="C9" s="9" t="n"/>
      <c r="D9" s="9" t="n"/>
      <c r="E9" s="57" t="inlineStr">
        <is>
          <t>（待填写）</t>
        </is>
      </c>
      <c r="F9" s="11" t="n"/>
      <c r="G9" s="9" t="inlineStr">
        <is>
          <t>Date 日期</t>
        </is>
      </c>
      <c r="H9" s="9" t="n"/>
      <c r="I9" s="9" t="n"/>
      <c r="J9" s="57" t="inlineStr">
        <is>
          <t>2026.09.11</t>
        </is>
      </c>
      <c r="K9" s="11" t="n"/>
      <c r="L9" s="10" t="n"/>
    </row>
    <row r="10" ht="16.2" customHeight="1">
      <c r="B10" s="9" t="inlineStr">
        <is>
          <t>Reviewed by 评审人</t>
        </is>
      </c>
      <c r="C10" s="9" t="n"/>
      <c r="D10" s="9" t="n"/>
      <c r="E10" s="57" t="inlineStr">
        <is>
          <t>（待填写）</t>
        </is>
      </c>
      <c r="F10" s="11" t="n"/>
      <c r="G10" s="9" t="inlineStr">
        <is>
          <t>Date 日期</t>
        </is>
      </c>
      <c r="H10" s="9" t="n"/>
      <c r="I10" s="9" t="n"/>
      <c r="J10" s="57" t="inlineStr">
        <is>
          <t>2026.09.11</t>
        </is>
      </c>
      <c r="K10" s="11" t="n"/>
      <c r="L10" s="10" t="n"/>
    </row>
    <row r="11" ht="16.2" customHeight="1">
      <c r="B11" s="9" t="inlineStr">
        <is>
          <t>Approved by 批准</t>
        </is>
      </c>
      <c r="C11" s="9" t="n"/>
      <c r="D11" s="9" t="n"/>
      <c r="E11" s="57" t="inlineStr">
        <is>
          <t>（待填写）</t>
        </is>
      </c>
      <c r="F11" s="11" t="n"/>
      <c r="G11" s="9" t="inlineStr">
        <is>
          <t>Date 日期</t>
        </is>
      </c>
      <c r="H11" s="9" t="n"/>
      <c r="I11" s="9" t="n"/>
      <c r="J11" s="57" t="inlineStr">
        <is>
          <t>2026.09.11</t>
        </is>
      </c>
      <c r="K11" s="11" t="n"/>
      <c r="L11" s="10" t="n"/>
    </row>
    <row r="12" ht="3.9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" customHeight="1">
      <c r="B13" s="9" t="inlineStr">
        <is>
          <t>Number of Test cases 测试用例数</t>
        </is>
      </c>
      <c r="C13" s="9" t="n"/>
      <c r="D13" s="9" t="n"/>
      <c r="E13" s="13">
        <f>65535-COUNTBLANK('Test Cases测试用例'!A:A)</f>
        <v/>
      </c>
      <c r="F13" s="10" t="n"/>
    </row>
    <row r="14" ht="3.9" customHeight="1">
      <c r="B14" s="12" t="n"/>
      <c r="C14" s="12" t="n"/>
      <c r="D14" s="12" t="n"/>
      <c r="E14" s="12" t="n"/>
    </row>
    <row r="15" ht="16.2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32" customHeight="1">
      <c r="B16" s="58" t="inlineStr">
        <is>
          <t>本次测试针对 2024 种子杯机械臂避障抓取赛项中的“算法核心模块”——team_algorithm.py 的 MyCustomAlgorithm 类及其运动学辅助函数。
测试预言（test oracle）不依赖被测代码，而由三处独立来源构造：① fr5_description/urdf/fr5v6.urdf 的关节链偏移与关节限位；② env.py 对外契约（观测归一化、step 动作语义、reward 判定式、get_dis 夹爪中心定义）；③ team_algorithm.py 末尾由 env.debugdoor() 打印的真实 PyBullet 输出（footnote）。
受运行环境限制（pybullet 未提供 Python 3.14 轮子），采用纯逻辑测试 + Mock 方案：以严格按 URDF 重建的参考运动学（tests/kinematics_ref.py）作为位置真值，以复现 env.py 语义的 Mock 环境（tests/mock_env.py）替代 PyBullet 物理引擎，从而使全部用例均可在无仿真器环境下自动执行。
用例设计综合使用等价类划分、边界值分析与场景法，共 50 条，覆盖输入解析、回合重置、运动学正解、末端模型、评分判定、避障姿态策略、逆解与限幅、异常安全、动作输出以及端到端抓取 10 个测试项。</t>
        </is>
      </c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</row>
    <row r="17" ht="3.9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" customHeight="1">
      <c r="B20" s="60" t="inlineStr">
        <is>
          <t>2026.09.11</t>
        </is>
      </c>
      <c r="C20" s="18" t="inlineStr">
        <is>
          <t>1.00</t>
        </is>
      </c>
      <c r="D20" s="11" t="inlineStr">
        <is>
          <t>xxx</t>
        </is>
      </c>
      <c r="E20" s="11" t="inlineStr">
        <is>
          <t>initial 初稿完成：依据 URDF/env.py/footnote 构造测试预言，完成 50 条用例设计与自动化执行</t>
        </is>
      </c>
      <c r="F20" s="11" t="n"/>
      <c r="G20" s="11" t="n"/>
      <c r="H20" s="11" t="n"/>
      <c r="I20" s="11" t="n"/>
      <c r="J20" s="11" t="n"/>
      <c r="K20" s="11" t="inlineStr">
        <is>
          <t>Name 作者名</t>
        </is>
      </c>
      <c r="L20" s="10" t="n"/>
    </row>
    <row r="21" ht="16.2" customHeight="1">
      <c r="B21" s="60" t="inlineStr">
        <is>
          <t>yyyy.mm.dd</t>
        </is>
      </c>
      <c r="C21" s="18" t="n">
        <v>1.01</v>
      </c>
      <c r="D21" s="11" t="inlineStr">
        <is>
          <t>xxx</t>
        </is>
      </c>
      <c r="E21" s="11" t="inlineStr">
        <is>
          <t>revised xxx 修改XXX Xxx Xxx ...</t>
        </is>
      </c>
      <c r="F21" s="11" t="n"/>
      <c r="G21" s="11" t="n"/>
      <c r="H21" s="11" t="n"/>
      <c r="I21" s="11" t="n"/>
      <c r="J21" s="11" t="n"/>
      <c r="K21" s="11" t="inlineStr">
        <is>
          <t>Name 作者名</t>
        </is>
      </c>
      <c r="L21" s="10" t="n"/>
    </row>
    <row r="22" ht="16.2" customHeight="1">
      <c r="B22" s="60" t="n"/>
      <c r="C22" s="18" t="n"/>
      <c r="D22" s="11" t="inlineStr">
        <is>
          <t>xxx</t>
        </is>
      </c>
      <c r="E22" s="11" t="inlineStr">
        <is>
          <t>revised xxx 修改XXX Xxx Xxx ...</t>
        </is>
      </c>
      <c r="F22" s="11" t="n"/>
      <c r="G22" s="11" t="n"/>
      <c r="H22" s="11" t="n"/>
      <c r="I22" s="11" t="n"/>
      <c r="J22" s="11" t="n"/>
      <c r="K22" s="11" t="inlineStr">
        <is>
          <t>Name 作者名</t>
        </is>
      </c>
      <c r="L22" s="10" t="n"/>
    </row>
    <row r="23" ht="16.2" customHeight="1">
      <c r="B23" s="60" t="inlineStr">
        <is>
          <t>yyyy.mm.dd</t>
        </is>
      </c>
      <c r="C23" s="18" t="n">
        <v>1.02</v>
      </c>
      <c r="D23" s="11" t="inlineStr">
        <is>
          <t>xxx</t>
        </is>
      </c>
      <c r="E23" s="11" t="inlineStr">
        <is>
          <t>revised xxx 修改XXX Xxx Xxx ...</t>
        </is>
      </c>
      <c r="F23" s="11" t="n"/>
      <c r="G23" s="11" t="n"/>
      <c r="H23" s="11" t="n"/>
      <c r="I23" s="11" t="n"/>
      <c r="J23" s="11" t="n"/>
      <c r="K23" s="11" t="inlineStr">
        <is>
          <t>Name 作者名</t>
        </is>
      </c>
      <c r="L23" s="10" t="n"/>
    </row>
    <row r="24" ht="16.2" customHeight="1">
      <c r="B24" s="60" t="inlineStr">
        <is>
          <t>……</t>
        </is>
      </c>
      <c r="C24" s="18" t="inlineStr">
        <is>
          <t>……</t>
        </is>
      </c>
      <c r="D24" s="61" t="inlineStr">
        <is>
          <t>……</t>
        </is>
      </c>
      <c r="E24" s="11" t="inlineStr">
        <is>
          <t>……</t>
        </is>
      </c>
      <c r="F24" s="11" t="n"/>
      <c r="G24" s="11" t="n"/>
      <c r="H24" s="11" t="n"/>
      <c r="I24" s="11" t="n"/>
      <c r="J24" s="11" t="n"/>
      <c r="K24" s="11" t="inlineStr">
        <is>
          <t>Name 作者名</t>
        </is>
      </c>
      <c r="L24" s="10" t="n"/>
    </row>
    <row r="25" ht="16.2" customHeight="1">
      <c r="B25" s="60" t="inlineStr">
        <is>
          <t>yyyy.mm.dd</t>
        </is>
      </c>
      <c r="C25" s="18" t="n">
        <v>2</v>
      </c>
      <c r="D25" s="11" t="inlineStr">
        <is>
          <t>xxx</t>
        </is>
      </c>
      <c r="E25" s="11" t="inlineStr">
        <is>
          <t>revised xxx 修改XXX Xxx Xxx ...</t>
        </is>
      </c>
      <c r="F25" s="11" t="n"/>
      <c r="G25" s="11" t="n"/>
      <c r="H25" s="11" t="n"/>
      <c r="I25" s="11" t="n"/>
      <c r="J25" s="11" t="n"/>
      <c r="K25" s="11" t="inlineStr">
        <is>
          <t>……</t>
        </is>
      </c>
      <c r="L25" s="10" t="n"/>
    </row>
    <row r="26" ht="3.9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60" t="inlineStr">
        <is>
          <t>yyyy.mm.dd</t>
        </is>
      </c>
      <c r="K29" s="60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60" t="inlineStr">
        <is>
          <t>yyyy.mm.dd</t>
        </is>
      </c>
      <c r="K30" s="60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60" t="inlineStr">
        <is>
          <t>yyyy.mm.dd</t>
        </is>
      </c>
      <c r="K31" s="60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60" t="inlineStr">
        <is>
          <t>yyyy.mm.dd</t>
        </is>
      </c>
      <c r="K32" s="60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62" t="inlineStr">
        <is>
          <t>yyyy.mm.dd</t>
        </is>
      </c>
      <c r="K33" s="63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64" t="n"/>
      <c r="K34" s="64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7" ht="15" customHeight="1">
      <c r="B37" s="65" t="inlineStr">
        <is>
          <t>测试结果分析</t>
        </is>
      </c>
      <c r="C37" s="66" t="n"/>
      <c r="D37" s="66" t="n"/>
      <c r="E37" s="67" t="n"/>
    </row>
    <row r="38" ht="16.2" customHeight="1">
      <c r="B38" s="28" t="inlineStr">
        <is>
          <t>OK项</t>
        </is>
      </c>
      <c r="C38" s="29">
        <f>IF($E$13=0,0,COUNTIF('Test Cases测试用例'!$L:$L,"=OK"))</f>
        <v/>
      </c>
      <c r="D38" s="28" t="inlineStr">
        <is>
          <t>OK率</t>
        </is>
      </c>
      <c r="E38" s="30">
        <f>IF(E13=0,0,C38/E13)</f>
        <v/>
      </c>
    </row>
    <row r="39" ht="16.2" customHeight="1">
      <c r="B39" s="28" t="inlineStr">
        <is>
          <t>POK项</t>
        </is>
      </c>
      <c r="C39" s="29">
        <f>IF($E$13=0,0,COUNTIF('Test Cases测试用例'!$L:$L,"=POK"))</f>
        <v/>
      </c>
      <c r="D39" s="28" t="inlineStr">
        <is>
          <t>POK率</t>
        </is>
      </c>
      <c r="E39" s="30">
        <f>IF(E13=0,0,C39/E13)</f>
        <v/>
      </c>
    </row>
    <row r="40" ht="16.2" customHeight="1">
      <c r="B40" s="28" t="inlineStr">
        <is>
          <t>NG项</t>
        </is>
      </c>
      <c r="C40" s="29">
        <f>IF($E$13=0,0,COUNTIF('Test Cases测试用例'!$L:$L,"=NG"))</f>
        <v/>
      </c>
      <c r="D40" s="28" t="inlineStr">
        <is>
          <t>NG率</t>
        </is>
      </c>
      <c r="E40" s="30">
        <f>IF(E13=0,0,C40/E13)</f>
        <v/>
      </c>
    </row>
    <row r="41" ht="16.2" customHeight="1">
      <c r="B41" s="31" t="inlineStr">
        <is>
          <t>NT项</t>
        </is>
      </c>
      <c r="C41" s="32">
        <f>IF($E$13=0,0,COUNTIF('Test Cases测试用例'!$L:$L,"=NT"))</f>
        <v/>
      </c>
      <c r="D41" s="31" t="inlineStr">
        <is>
          <t>NT率</t>
        </is>
      </c>
      <c r="E41" s="33">
        <f>IF(E13=0,0,C41/E13)</f>
        <v/>
      </c>
    </row>
    <row r="42" ht="3" customHeight="1">
      <c r="B42" s="34" t="n"/>
      <c r="C42" s="35" t="n"/>
      <c r="D42" s="36" t="n"/>
      <c r="E42" s="37" t="n"/>
    </row>
    <row r="43" ht="16.2" customHeight="1">
      <c r="B43" s="3" t="inlineStr">
        <is>
          <t>用例总个数</t>
        </is>
      </c>
      <c r="C43" s="68">
        <f>E13</f>
        <v/>
      </c>
      <c r="D43" s="69" t="n"/>
      <c r="E43" s="70" t="n"/>
    </row>
  </sheetData>
  <mergeCells count="3">
    <mergeCell ref="B16:M16"/>
    <mergeCell ref="C43:E43"/>
    <mergeCell ref="B37:E37"/>
  </mergeCells>
  <pageMargins left="0.5" right="0.5" top="0.5" bottom="0.5" header="0" footer="0"/>
  <pageSetup orientation="portrait" paperSize="9" horizont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selection activeCell="B2" sqref="B2"/>
    </sheetView>
  </sheetViews>
  <sheetFormatPr baseColWidth="8" defaultColWidth="11.6328125" defaultRowHeight="15.6"/>
  <cols>
    <col width="15.36328125" customWidth="1" style="44" min="1" max="1"/>
    <col width="16.54296875" customWidth="1" style="44" min="2" max="2"/>
    <col width="26.81640625" customWidth="1" style="44" min="3" max="3"/>
    <col width="21" customWidth="1" style="44" min="4" max="4"/>
    <col hidden="1" width="13.90625" customWidth="1" style="44" min="5" max="5"/>
    <col hidden="1" width="8.90625" customWidth="1" style="44" min="6" max="6"/>
    <col width="21.1796875" customWidth="1" style="44" min="7" max="7"/>
    <col width="12.81640625" customWidth="1" style="44" min="8" max="8"/>
    <col width="14.453125" customWidth="1" style="44" min="9" max="9"/>
    <col width="16.453125" customWidth="1" style="44" min="10" max="10"/>
    <col width="11.81640625" customWidth="1" style="44" min="11" max="11"/>
    <col width="11" customWidth="1" style="44" min="12" max="12"/>
    <col width="20.90625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50" t="inlineStr">
        <is>
          <t>是否自动用例</t>
        </is>
      </c>
      <c r="F1" s="50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>
      <c r="A2" s="42" t="inlineStr">
        <is>
          <t>TC-ALG-001</t>
        </is>
      </c>
      <c r="B2" s="42" t="inlineStr">
        <is>
          <t>输入解析</t>
        </is>
      </c>
      <c r="C2" s="42" t="inlineStr">
        <is>
          <t>中立位观测下正常返回六轴动作</t>
        </is>
      </c>
      <c r="D2" s="42" t="inlineStr">
        <is>
          <t>High</t>
        </is>
      </c>
      <c r="E2" s="42" t="inlineStr">
        <is>
          <t>是</t>
        </is>
      </c>
      <c r="F2" s="42" t="inlineStr">
        <is>
          <t>新增</t>
        </is>
      </c>
      <c r="G2" s="42" t="inlineStr">
        <is>
          <t>模块已实例化，观测为 (1,12) 标准格式</t>
        </is>
      </c>
      <c r="H2" s="42" t="inlineStr">
        <is>
          <t>关节角=中立位，目标(0,0.85,0.2)，障碍(0.1,0.6,0.2)</t>
        </is>
      </c>
      <c r="I2" s="42" t="inlineStr">
        <is>
          <t>构造观测并调用 get_action(obs, None)；检查返回形状与数值有效性</t>
        </is>
      </c>
      <c r="J2" s="42" t="inlineStr">
        <is>
          <t>返回形状 (6,) 的有限实数数组</t>
        </is>
      </c>
      <c r="K2" s="42" t="inlineStr">
        <is>
          <t>action=[100.0, 100.0, 100.0, 100.0, 29.4585, 0.0] shape=(6,)</t>
        </is>
      </c>
      <c r="L2" s="42" t="inlineStr">
        <is>
          <t>OK</t>
        </is>
      </c>
      <c r="M2" s="42" t="inlineStr">
        <is>
          <t>等价类划分（有效等价类）</t>
        </is>
      </c>
      <c r="N2" s="43" t="inlineStr">
        <is>
          <t>OK</t>
        </is>
      </c>
    </row>
    <row r="3">
      <c r="A3" s="42" t="inlineStr">
        <is>
          <t>TC-ALG-002</t>
        </is>
      </c>
      <c r="B3" s="42" t="inlineStr">
        <is>
          <t>输入解析</t>
        </is>
      </c>
      <c r="C3" s="42" t="inlineStr">
        <is>
          <t>归一化边界 0/1 的反归一化正确性</t>
        </is>
      </c>
      <c r="D3" s="42" t="inlineStr">
        <is>
          <t>High</t>
        </is>
      </c>
      <c r="E3" s="42" t="inlineStr">
        <is>
          <t>是</t>
        </is>
      </c>
      <c r="F3" s="42" t="inlineStr">
        <is>
          <t>新增</t>
        </is>
      </c>
      <c r="G3" s="42" t="inlineStr">
        <is>
          <t>观测前 6 维为归一化关节角</t>
        </is>
      </c>
      <c r="H3" s="42" t="inlineStr">
        <is>
          <t>前 6 维分别取 0.0 与 1.0</t>
        </is>
      </c>
      <c r="I3" s="42" t="inlineStr">
        <is>
          <t>按 (x*2-1)*180 反算角度；核对是否映射为 -180°/+180°</t>
        </is>
      </c>
      <c r="J3" s="42" t="inlineStr">
        <is>
          <t>0→-180°，1→+180°</t>
        </is>
      </c>
      <c r="K3" s="42" t="inlineStr">
        <is>
          <t>归一化下界=0.0 上界=1.0；反解下界=-180.0°；返回类型 lo=NoneType hi=NoneType</t>
        </is>
      </c>
      <c r="L3" s="42" t="inlineStr">
        <is>
          <t>OK</t>
        </is>
      </c>
      <c r="M3" s="42" t="inlineStr">
        <is>
          <t>边界值分析（取 0 与 1）</t>
        </is>
      </c>
      <c r="N3" s="43" t="inlineStr">
        <is>
          <t>POK</t>
        </is>
      </c>
    </row>
    <row r="4">
      <c r="A4" s="42" t="inlineStr">
        <is>
          <t>TC-ALG-003</t>
        </is>
      </c>
      <c r="B4" s="42" t="inlineStr">
        <is>
          <t>接口契约</t>
        </is>
      </c>
      <c r="C4" s="42" t="inlineStr">
        <is>
          <t>观测形状异常时的健壮性</t>
        </is>
      </c>
      <c r="D4" s="42" t="inlineStr">
        <is>
          <t>Medium</t>
        </is>
      </c>
      <c r="E4" s="42" t="inlineStr">
        <is>
          <t>是</t>
        </is>
      </c>
      <c r="F4" s="42" t="inlineStr">
        <is>
          <t>新增</t>
        </is>
      </c>
      <c r="G4" s="42" t="inlineStr">
        <is>
          <t>模块已实例化</t>
        </is>
      </c>
      <c r="H4" s="42" t="inlineStr">
        <is>
          <t>观测形状分别为 (1,12)、(12,)、(1,11)</t>
        </is>
      </c>
      <c r="I4" s="42" t="inlineStr">
        <is>
          <t>依次传入三种形状并调用 get_action</t>
        </is>
      </c>
      <c r="J4" s="42" t="inlineStr">
        <is>
          <t>(1,12) 正常返回；异常形状不应静默产生错误动作</t>
        </is>
      </c>
      <c r="K4" s="42" t="inlineStr">
        <is>
          <t>标准(1,12)-&gt;ndarray；一维(12,)-&gt;IndexError；少一维(1,11)-&gt;ValueError（非标准形状未做显式校验，直接抛 IndexError/ValueError）</t>
        </is>
      </c>
      <c r="L4" s="42" t="inlineStr">
        <is>
          <t>OK</t>
        </is>
      </c>
      <c r="M4" s="42" t="inlineStr">
        <is>
          <t>等价类划分（无效等价类）</t>
        </is>
      </c>
      <c r="N4" s="43" t="inlineStr">
        <is>
          <t>NG</t>
        </is>
      </c>
    </row>
    <row r="5">
      <c r="A5" s="42" t="inlineStr">
        <is>
          <t>TC-ALG-004</t>
        </is>
      </c>
      <c r="B5" s="42" t="inlineStr">
        <is>
          <t>接口契约</t>
        </is>
      </c>
      <c r="C5" s="42" t="inlineStr">
        <is>
          <t>官方单参数签名调用兼容性</t>
        </is>
      </c>
      <c r="D5" s="42" t="inlineStr">
        <is>
          <t>High</t>
        </is>
      </c>
      <c r="E5" s="42" t="inlineStr">
        <is>
          <t>是</t>
        </is>
      </c>
      <c r="F5" s="42" t="inlineStr">
        <is>
          <t>新增</t>
        </is>
      </c>
      <c r="G5" s="42" t="inlineStr">
        <is>
          <t>官方接口 BaseAlgorithm.get_action(observation)</t>
        </is>
      </c>
      <c r="H5" s="42" t="inlineStr">
        <is>
          <t>仅传入 observation，不传 env</t>
        </is>
      </c>
      <c r="I5" s="42" t="inlineStr">
        <is>
          <t>调用 get_action(obs) 并捕获 TypeError</t>
        </is>
      </c>
      <c r="J5" s="42" t="inlineStr">
        <is>
          <t>正常返回动作，不抛异常</t>
        </is>
      </c>
      <c r="K5" s="42" t="inlineStr">
        <is>
          <t>单参数调用成功，返回 ndarray</t>
        </is>
      </c>
      <c r="L5" s="42" t="inlineStr">
        <is>
          <t>OK</t>
        </is>
      </c>
      <c r="M5" s="42" t="inlineStr">
        <is>
          <t>等价类划分（接口有效类）</t>
        </is>
      </c>
      <c r="N5" s="43" t="inlineStr">
        <is>
          <t>NT</t>
        </is>
      </c>
    </row>
    <row r="6">
      <c r="A6" s="42" t="inlineStr">
        <is>
          <t>TC-ALG-005</t>
        </is>
      </c>
      <c r="B6" s="42" t="inlineStr">
        <is>
          <t>接口契约</t>
        </is>
      </c>
      <c r="C6" s="42" t="inlineStr">
        <is>
          <t>test.py 双参数签名调用兼容性</t>
        </is>
      </c>
      <c r="D6" s="42" t="inlineStr">
        <is>
          <t>High</t>
        </is>
      </c>
      <c r="E6" s="42" t="inlineStr">
        <is>
          <t>是</t>
        </is>
      </c>
      <c r="F6" s="42" t="inlineStr">
        <is>
          <t>新增</t>
        </is>
      </c>
      <c r="G6" s="42" t="inlineStr">
        <is>
          <t>test.py:22 以 get_action(observation, env) 调用</t>
        </is>
      </c>
      <c r="H6" s="42" t="inlineStr">
        <is>
          <t>传入 observation 与 Mock env 对象</t>
        </is>
      </c>
      <c r="I6" s="42" t="inlineStr">
        <is>
          <t>调用 get_action(obs, env)</t>
        </is>
      </c>
      <c r="J6" s="42" t="inlineStr">
        <is>
          <t>正常返回动作，不抛异常</t>
        </is>
      </c>
      <c r="K6" s="42" t="inlineStr">
        <is>
          <t>双参数调用成功，返回 ndarray</t>
        </is>
      </c>
      <c r="L6" s="42" t="inlineStr">
        <is>
          <t>OK</t>
        </is>
      </c>
      <c r="M6" s="42" t="inlineStr">
        <is>
          <t>等价类划分（接口有效类）</t>
        </is>
      </c>
      <c r="N6" s="43" t="n"/>
    </row>
    <row r="7">
      <c r="A7" s="42" t="inlineStr">
        <is>
          <t>TC-ALG-006</t>
        </is>
      </c>
      <c r="B7" s="42" t="inlineStr">
        <is>
          <t>外部依赖</t>
        </is>
      </c>
      <c r="C7" s="42" t="inlineStr">
        <is>
          <t>Mock env 提供 p.getKeyboardEvents 时的行为</t>
        </is>
      </c>
      <c r="D7" s="42" t="inlineStr">
        <is>
          <t>Medium</t>
        </is>
      </c>
      <c r="E7" s="42" t="inlineStr">
        <is>
          <t>是</t>
        </is>
      </c>
      <c r="F7" s="42" t="inlineStr">
        <is>
          <t>新增</t>
        </is>
      </c>
      <c r="G7" s="42" t="inlineStr">
        <is>
          <t>env 替身提供 p.getKeyboardEvents()</t>
        </is>
      </c>
      <c r="H7" s="42" t="inlineStr">
        <is>
          <t>Mock env（无按键按下）</t>
        </is>
      </c>
      <c r="I7" s="42" t="inlineStr">
        <is>
          <t>调用 get_action(obs, env)，统计替身方法调用次数</t>
        </is>
      </c>
      <c r="J7" s="42" t="inlineStr">
        <is>
          <t>键盘事件被读取且不影响正常输出</t>
        </is>
      </c>
      <c r="K7" s="42" t="inlineStr">
        <is>
          <t>getKeyboardEvents 调用 1 次，动作返回 ndarray</t>
        </is>
      </c>
      <c r="L7" s="42" t="inlineStr">
        <is>
          <t>OK</t>
        </is>
      </c>
      <c r="M7" s="42" t="inlineStr">
        <is>
          <t>等价类划分（依赖替身）</t>
        </is>
      </c>
      <c r="N7" s="43" t="n"/>
    </row>
    <row r="8">
      <c r="A8" s="42" t="inlineStr">
        <is>
          <t>TC-ALG-007</t>
        </is>
      </c>
      <c r="B8" s="42" t="inlineStr">
        <is>
          <t>回合重置</t>
        </is>
      </c>
      <c r="C8" s="42" t="inlineStr">
        <is>
          <t>新回合首次调用完成基准角初始化</t>
        </is>
      </c>
      <c r="D8" s="42" t="inlineStr">
        <is>
          <t>High</t>
        </is>
      </c>
      <c r="E8" s="42" t="inlineStr">
        <is>
          <t>是</t>
        </is>
      </c>
      <c r="F8" s="42" t="inlineStr">
        <is>
          <t>新增</t>
        </is>
      </c>
      <c r="G8" s="42" t="inlineStr">
        <is>
          <t>新建模块实例，base_angles 为全 0</t>
        </is>
      </c>
      <c r="H8" s="42" t="inlineStr">
        <is>
          <t>首帧观测（当前角=中立位）</t>
        </is>
      </c>
      <c r="I8" s="42" t="inlineStr">
        <is>
          <t>调用一次 get_action，比较调用前后的 base_angles</t>
        </is>
      </c>
      <c r="J8" s="42" t="inlineStr">
        <is>
          <t>base_angles 被更新为当前关节角</t>
        </is>
      </c>
      <c r="K8" s="42" t="inlineStr">
        <is>
          <t>base_angles [0.0, 0.0, 0.0, 0.0, 0.0, 0.0] -&gt; [-49.46, -57.6, -138.39, -164.01, -49.46, 0.0]</t>
        </is>
      </c>
      <c r="L8" s="42" t="inlineStr">
        <is>
          <t>OK</t>
        </is>
      </c>
      <c r="M8" s="42" t="inlineStr">
        <is>
          <t>场景法（回合初始化）</t>
        </is>
      </c>
      <c r="N8" s="43" t="n"/>
    </row>
    <row r="9">
      <c r="A9" s="42" t="inlineStr">
        <is>
          <t>TC-ALG-008</t>
        </is>
      </c>
      <c r="B9" s="42" t="inlineStr">
        <is>
          <t>回合重置</t>
        </is>
      </c>
      <c r="C9" s="42" t="inlineStr">
        <is>
          <t>目标与障碍不变时不重置基准角</t>
        </is>
      </c>
      <c r="D9" s="42" t="inlineStr">
        <is>
          <t>High</t>
        </is>
      </c>
      <c r="E9" s="42" t="inlineStr">
        <is>
          <t>是</t>
        </is>
      </c>
      <c r="F9" s="42" t="inlineStr">
        <is>
          <t>新增</t>
        </is>
      </c>
      <c r="G9" s="42" t="inlineStr">
        <is>
          <t>同一回合内连续调用</t>
        </is>
      </c>
      <c r="H9" s="42" t="inlineStr">
        <is>
          <t>第 2 帧目标与障碍与第 1 帧完全相同，仅关节角变化</t>
        </is>
      </c>
      <c r="I9" s="42" t="inlineStr">
        <is>
          <t>连续两次调用并比较 base_angles</t>
        </is>
      </c>
      <c r="J9" s="42" t="inlineStr">
        <is>
          <t>base_angles 保持首帧值不变</t>
        </is>
      </c>
      <c r="K9" s="42" t="inlineStr">
        <is>
          <t>第2次调用后 base_angles=[-49.46, -57.6, -138.39, -164.01, -49.46, 0.0]（应保持首次值）</t>
        </is>
      </c>
      <c r="L9" s="42" t="inlineStr">
        <is>
          <t>OK</t>
        </is>
      </c>
      <c r="M9" s="42" t="inlineStr">
        <is>
          <t>等价类划分（有效等价类）</t>
        </is>
      </c>
      <c r="N9" s="43" t="n"/>
    </row>
    <row r="10">
      <c r="A10" s="42" t="inlineStr">
        <is>
          <t>TC-ALG-009</t>
        </is>
      </c>
      <c r="B10" s="42" t="inlineStr">
        <is>
          <t>回合重置</t>
        </is>
      </c>
      <c r="C10" s="42" t="inlineStr">
        <is>
          <t>目标位置变化触发策略重置</t>
        </is>
      </c>
      <c r="D10" s="42" t="inlineStr">
        <is>
          <t>High</t>
        </is>
      </c>
      <c r="E10" s="42" t="inlineStr">
        <is>
          <t>是</t>
        </is>
      </c>
      <c r="F10" s="42" t="inlineStr">
        <is>
          <t>新增</t>
        </is>
      </c>
      <c r="G10" s="42" t="inlineStr">
        <is>
          <t>已用目标 A 调用过一次</t>
        </is>
      </c>
      <c r="H10" s="42" t="inlineStr">
        <is>
          <t>目标由 (0,0.85,0.2) 变为 (0.1,0.85,0.2)</t>
        </is>
      </c>
      <c r="I10" s="42" t="inlineStr">
        <is>
          <t>再次调用 get_action，检查 design_target</t>
        </is>
      </c>
      <c r="J10" s="42" t="inlineStr">
        <is>
          <t>design_target 更新为新目标</t>
        </is>
      </c>
      <c r="K10" s="42" t="inlineStr">
        <is>
          <t>design_target 已更新为 [0.1, 0.85, 0.2]</t>
        </is>
      </c>
      <c r="L10" s="42" t="inlineStr">
        <is>
          <t>OK</t>
        </is>
      </c>
      <c r="M10" s="42" t="inlineStr">
        <is>
          <t>等价类划分（回合切换）</t>
        </is>
      </c>
      <c r="N10" s="43" t="n"/>
    </row>
    <row r="11">
      <c r="A11" s="42" t="inlineStr">
        <is>
          <t>TC-ALG-010</t>
        </is>
      </c>
      <c r="B11" s="42" t="inlineStr">
        <is>
          <t>回合重置</t>
        </is>
      </c>
      <c r="C11" s="42" t="inlineStr">
        <is>
          <t>障碍位置变化触发策略重置</t>
        </is>
      </c>
      <c r="D11" s="42" t="inlineStr">
        <is>
          <t>High</t>
        </is>
      </c>
      <c r="E11" s="42" t="inlineStr">
        <is>
          <t>是</t>
        </is>
      </c>
      <c r="F11" s="42" t="inlineStr">
        <is>
          <t>新增</t>
        </is>
      </c>
      <c r="G11" s="42" t="inlineStr">
        <is>
          <t>已用障碍 A 调用过一次</t>
        </is>
      </c>
      <c r="H11" s="42" t="inlineStr">
        <is>
          <t>障碍由 (0.1,0.6,0.2) 变为 (-0.1,0.6,0.2)</t>
        </is>
      </c>
      <c r="I11" s="42" t="inlineStr">
        <is>
          <t>再次调用 get_action，检查 ball_target</t>
        </is>
      </c>
      <c r="J11" s="42" t="inlineStr">
        <is>
          <t>ball_target 更新为新障碍位置</t>
        </is>
      </c>
      <c r="K11" s="42" t="inlineStr">
        <is>
          <t>ball_target [0.1, 0.6, 0.2] -&gt; [-0.1, 0.6, 0.2]</t>
        </is>
      </c>
      <c r="L11" s="42" t="inlineStr">
        <is>
          <t>OK</t>
        </is>
      </c>
      <c r="M11" s="42" t="inlineStr">
        <is>
          <t>等价类划分（回合切换）</t>
        </is>
      </c>
      <c r="N11" s="43" t="n"/>
    </row>
    <row r="12">
      <c r="A12" s="42" t="inlineStr">
        <is>
          <t>TC-ALG-011</t>
        </is>
      </c>
      <c r="B12" s="42" t="inlineStr">
        <is>
          <t>运动学正解</t>
        </is>
      </c>
      <c r="C12" s="42" t="inlineStr">
        <is>
          <t>零位 FK 各连杆位置与 PyBullet 真值一致</t>
        </is>
      </c>
      <c r="D12" s="42" t="inlineStr">
        <is>
          <t>High</t>
        </is>
      </c>
      <c r="E12" s="42" t="inlineStr">
        <is>
          <t>是</t>
        </is>
      </c>
      <c r="F12" s="42" t="inlineStr">
        <is>
          <t>新增</t>
        </is>
      </c>
      <c r="G12" s="42" t="inlineStr">
        <is>
          <t>参考真值取 team_algorithm.py footnote（env.debugdoor 输出）</t>
        </is>
      </c>
      <c r="H12" s="42" t="inlineStr">
        <is>
          <t>七个关节角全部为 0</t>
        </is>
      </c>
      <c r="I12" s="42" t="inlineStr">
        <is>
          <t>调用 forward_kinematics_mat 取 mats[i][0]，与真值逐项求差</t>
        </is>
      </c>
      <c r="J12" s="42" t="inlineStr">
        <is>
          <t>7 个连杆位置最大偏差 &lt; 1e-5 m</t>
        </is>
      </c>
      <c r="K12" s="42" t="inlineStr">
        <is>
          <t>最大位置偏差 3.75e-07 m（Link 5，阈值 1e-5）</t>
        </is>
      </c>
      <c r="L12" s="42" t="inlineStr">
        <is>
          <t>OK</t>
        </is>
      </c>
      <c r="M12" s="42" t="inlineStr">
        <is>
          <t>边界值分析（零位特例）</t>
        </is>
      </c>
      <c r="N12" s="43" t="n"/>
    </row>
    <row r="13">
      <c r="A13" s="42" t="inlineStr">
        <is>
          <t>TC-ALG-012</t>
        </is>
      </c>
      <c r="B13" s="42" t="inlineStr">
        <is>
          <t>运动学正解</t>
        </is>
      </c>
      <c r="C13" s="42" t="inlineStr">
        <is>
          <t>零位 FK 各连杆姿态与 PyBullet 真值一致</t>
        </is>
      </c>
      <c r="D13" s="42" t="inlineStr">
        <is>
          <t>Medium</t>
        </is>
      </c>
      <c r="E13" s="42" t="inlineStr">
        <is>
          <t>是</t>
        </is>
      </c>
      <c r="F13" s="42" t="inlineStr">
        <is>
          <t>新增</t>
        </is>
      </c>
      <c r="G13" s="42" t="inlineStr">
        <is>
          <t>同上</t>
        </is>
      </c>
      <c r="H13" s="42" t="inlineStr">
        <is>
          <t>七个关节角全部为 0</t>
        </is>
      </c>
      <c r="I13" s="42" t="inlineStr">
        <is>
          <t>取 mats[i][1] 与真值旋转矩阵逐项求差</t>
        </is>
      </c>
      <c r="J13" s="42" t="inlineStr">
        <is>
          <t>最大姿态偏差 &lt; 1e-4</t>
        </is>
      </c>
      <c r="K13" s="42" t="inlineStr">
        <is>
          <t>最大姿态偏差 2.65e-06（Link 7，阈值 1e-4，已按行向量约定转置比对）</t>
        </is>
      </c>
      <c r="L13" s="42" t="inlineStr">
        <is>
          <t>OK</t>
        </is>
      </c>
      <c r="M13" s="42" t="inlineStr">
        <is>
          <t>边界值分析（零位特例）</t>
        </is>
      </c>
      <c r="N13" s="43" t="n"/>
    </row>
    <row r="14">
      <c r="A14" s="42" t="inlineStr">
        <is>
          <t>TC-ALG-013</t>
        </is>
      </c>
      <c r="B14" s="42" t="inlineStr">
        <is>
          <t>运动学正解</t>
        </is>
      </c>
      <c r="C14" s="42" t="inlineStr">
        <is>
          <t>随机位姿下 FK 与独立参考模型一致</t>
        </is>
      </c>
      <c r="D14" s="42" t="inlineStr">
        <is>
          <t>High</t>
        </is>
      </c>
      <c r="E14" s="42" t="inlineStr">
        <is>
          <t>是</t>
        </is>
      </c>
      <c r="F14" s="42" t="inlineStr">
        <is>
          <t>新增</t>
        </is>
      </c>
      <c r="G14" s="42" t="inlineStr">
        <is>
          <t>参考模型 kinematics_ref 直接按 URDF 关节链实现</t>
        </is>
      </c>
      <c r="H14" s="42" t="inlineStr">
        <is>
          <t>30 组 [-120°,120°] 随机关节角</t>
        </is>
      </c>
      <c r="I14" s="42" t="inlineStr">
        <is>
          <t>分别用被测 FK 与参考 FK 求 7 个连杆位置并求最大偏差</t>
        </is>
      </c>
      <c r="J14" s="42" t="inlineStr">
        <is>
          <t>最大偏差 &lt; 1e-6 m</t>
        </is>
      </c>
      <c r="K14" s="42" t="inlineStr">
        <is>
          <t>30 组随机位姿最大位置偏差 0.00e+00 m（阈值 1e-6）</t>
        </is>
      </c>
      <c r="L14" s="42" t="inlineStr">
        <is>
          <t>OK</t>
        </is>
      </c>
      <c r="M14" s="42" t="inlineStr">
        <is>
          <t>等价类划分（一般位姿）</t>
        </is>
      </c>
      <c r="N14" s="43" t="n"/>
    </row>
    <row r="15">
      <c r="A15" s="42" t="inlineStr">
        <is>
          <t>TC-ALG-014</t>
        </is>
      </c>
      <c r="B15" s="42" t="inlineStr">
        <is>
          <t>运动学正解</t>
        </is>
      </c>
      <c r="C15" s="42" t="inlineStr">
        <is>
          <t>link 帧位置未被 URDF 质心 origin 污染</t>
        </is>
      </c>
      <c r="D15" s="42" t="inlineStr">
        <is>
          <t>High</t>
        </is>
      </c>
      <c r="E15" s="42" t="inlineStr">
        <is>
          <t>是</t>
        </is>
      </c>
      <c r="F15" s="42" t="inlineStr">
        <is>
          <t>新增</t>
        </is>
      </c>
      <c r="G15" s="42" t="inlineStr">
        <is>
          <t>URDF &lt;inertial&gt; 的 origin 为质心，不能当作运动学偏移</t>
        </is>
      </c>
      <c r="H15" s="42" t="inlineStr">
        <is>
          <t>零位关节角</t>
        </is>
      </c>
      <c r="I15" s="42" t="inlineStr">
        <is>
          <t>比较 mats[i][2] 与 PyBullet 真值位置</t>
        </is>
      </c>
      <c r="J15" s="42" t="inlineStr">
        <is>
          <t>与真值一致（偏差 &lt; 1e-5 m）</t>
        </is>
      </c>
      <c r="K15" s="42" t="inlineStr">
        <is>
          <t>link 帧位置被 &lt;inertial&gt; 质心 origin 污染，与 PyBullet 实际报告不符：Link2 偏差 0.21250m，Link3 偏差 0.18793m，Link4 偏差 0.09715m，Link5 偏差 0.09826m，Link6 偏差 0.07612m，Link7 偏差 1.04500m</t>
        </is>
      </c>
      <c r="L15" s="42" t="inlineStr">
        <is>
          <t>NG</t>
        </is>
      </c>
      <c r="M15" s="42" t="inlineStr">
        <is>
          <t>白盒（数据流检查）</t>
        </is>
      </c>
      <c r="N15" s="43" t="n"/>
    </row>
    <row r="16">
      <c r="A16" s="42" t="inlineStr">
        <is>
          <t>TC-ALG-015</t>
        </is>
      </c>
      <c r="B16" s="42" t="inlineStr">
        <is>
          <t>距离度量</t>
        </is>
      </c>
      <c r="C16" s="42" t="inlineStr">
        <is>
          <t>abc_getdist 距离度量的自反性与正定性</t>
        </is>
      </c>
      <c r="D16" s="42" t="inlineStr">
        <is>
          <t>Medium</t>
        </is>
      </c>
      <c r="E16" s="42" t="inlineStr">
        <is>
          <t>是</t>
        </is>
      </c>
      <c r="F16" s="42" t="inlineStr">
        <is>
          <t>新增</t>
        </is>
      </c>
      <c r="G16" s="42" t="inlineStr">
        <is>
          <t>模块已实例化</t>
        </is>
      </c>
      <c r="H16" s="42" t="inlineStr">
        <is>
          <t>末端点与自身、末端点与另一点</t>
        </is>
      </c>
      <c r="I16" s="42" t="inlineStr">
        <is>
          <t>调用 abc_getdist 比较返回值</t>
        </is>
      </c>
      <c r="J16" s="42" t="inlineStr">
        <is>
          <t>同点返回 0，异点返回正值</t>
        </is>
      </c>
      <c r="K16" s="42" t="inlineStr">
        <is>
          <t>同点距离=0.00e+00，异点距离=0.06970</t>
        </is>
      </c>
      <c r="L16" s="42" t="inlineStr">
        <is>
          <t>OK</t>
        </is>
      </c>
      <c r="M16" s="42" t="inlineStr">
        <is>
          <t>边界值分析（零距离）</t>
        </is>
      </c>
      <c r="N16" s="43" t="n"/>
    </row>
    <row r="17">
      <c r="A17" s="42" t="inlineStr">
        <is>
          <t>TC-ALG-016</t>
        </is>
      </c>
      <c r="B17" s="42" t="inlineStr">
        <is>
          <t>末端模型</t>
        </is>
      </c>
      <c r="C17" s="42" t="inlineStr">
        <is>
          <t>abc_endeffe 与 env.get_dis 夹爪中心定义一致</t>
        </is>
      </c>
      <c r="D17" s="42" t="inlineStr">
        <is>
          <t>High</t>
        </is>
      </c>
      <c r="E17" s="42" t="inlineStr">
        <is>
          <t>是</t>
        </is>
      </c>
      <c r="F17" s="42" t="inlineStr">
        <is>
          <t>新增</t>
        </is>
      </c>
      <c r="G17" s="42" t="inlineStr">
        <is>
          <t>env.get_dis 用 link6 位置 + link7 姿态旋转 [0,0,0.15]</t>
        </is>
      </c>
      <c r="H17" s="42" t="inlineStr">
        <is>
          <t>零位、中立位、一般位姿三组关节角</t>
        </is>
      </c>
      <c r="I17" s="42" t="inlineStr">
        <is>
          <t>比较 abc_endeffe 与参考夹爪中心的欧氏偏差</t>
        </is>
      </c>
      <c r="J17" s="42" t="inlineStr">
        <is>
          <t>偏差 ≤ 0.05 m（抓取成功阈值）</t>
        </is>
      </c>
      <c r="K17" s="42" t="inlineStr">
        <is>
          <t>与 env.get_dis() 夹爪中心最大偏差 0.07612 m（成功阈值 0.05 m）</t>
        </is>
      </c>
      <c r="L17" s="42" t="inlineStr">
        <is>
          <t>NG</t>
        </is>
      </c>
      <c r="M17" s="42" t="inlineStr">
        <is>
          <t>等价类划分（多姿态）</t>
        </is>
      </c>
      <c r="N17" s="43" t="n"/>
    </row>
    <row r="18">
      <c r="A18" s="42" t="inlineStr">
        <is>
          <t>TC-ALG-017</t>
        </is>
      </c>
      <c r="B18" s="42" t="inlineStr">
        <is>
          <t>末端模型</t>
        </is>
      </c>
      <c r="C18" s="42" t="inlineStr">
        <is>
          <t>算法内部模型下达的关节角应指向目标</t>
        </is>
      </c>
      <c r="D18" s="42" t="inlineStr">
        <is>
          <t>High</t>
        </is>
      </c>
      <c r="E18" s="42" t="inlineStr">
        <is>
          <t>是</t>
        </is>
      </c>
      <c r="F18" s="42" t="inlineStr">
        <is>
          <t>新增</t>
        </is>
      </c>
      <c r="G18" s="42" t="inlineStr">
        <is>
          <t>模块已就一个回合解算完毕</t>
        </is>
      </c>
      <c r="H18" s="42" t="inlineStr">
        <is>
          <t>随机种子 1000 生成的目标与障碍</t>
        </is>
      </c>
      <c r="I18" s="42" t="inlineStr">
        <is>
          <t>取 alg.target，用模块自身 FK 算夹爪中心并与目标比较</t>
        </is>
      </c>
      <c r="J18" s="42" t="inlineStr">
        <is>
          <t>模型内偏差 ≤ 0.05 m</t>
        </is>
      </c>
      <c r="K18" s="42" t="inlineStr">
        <is>
          <t>回合结束后，按模块自身 FK 计算 self.target 处夹爪中心距目标 0.11000 m（Muli=0.11000，阈值 0.05 m）</t>
        </is>
      </c>
      <c r="L18" s="42" t="inlineStr">
        <is>
          <t>NG</t>
        </is>
      </c>
      <c r="M18" s="42" t="inlineStr">
        <is>
          <t>白盒（模型自洽性）</t>
        </is>
      </c>
      <c r="N18" s="43" t="n"/>
    </row>
    <row r="19">
      <c r="A19" s="42" t="inlineStr">
        <is>
          <t>TC-ALG-018</t>
        </is>
      </c>
      <c r="B19" s="42" t="inlineStr">
        <is>
          <t>评分判定</t>
        </is>
      </c>
      <c r="C19" s="42" t="inlineStr">
        <is>
          <t>距离恰好 0.05 m 时的得分档位（阈值边界）</t>
        </is>
      </c>
      <c r="D19" s="42" t="inlineStr">
        <is>
          <t>High</t>
        </is>
      </c>
      <c r="E19" s="42" t="inlineStr">
        <is>
          <t>是</t>
        </is>
      </c>
      <c r="F19" s="42" t="inlineStr">
        <is>
          <t>新增</t>
        </is>
      </c>
      <c r="G19" s="42" t="inlineStr">
        <is>
          <t>env.py:165 与 :179 的分档条件</t>
        </is>
      </c>
      <c r="H19" s="42" t="inlineStr">
        <is>
          <t>夹爪-目标距离 = 0.05 m</t>
        </is>
      </c>
      <c r="I19" s="42" t="inlineStr">
        <is>
          <t>按 env.py 判定式复算得分</t>
        </is>
      </c>
      <c r="J19" s="42" t="inlineStr">
        <is>
          <t>不满足 &lt;0.05，进入线性递减档，得分 100</t>
        </is>
      </c>
      <c r="K19" s="42" t="inlineStr">
        <is>
          <t>env.py:165/179 判定：d=0.05 时得分为 100.00（进入线性递减档）</t>
        </is>
      </c>
      <c r="L19" s="42" t="inlineStr">
        <is>
          <t>OK</t>
        </is>
      </c>
      <c r="M19" s="42" t="inlineStr">
        <is>
          <t>边界值分析（上边界 0.05）</t>
        </is>
      </c>
      <c r="N19" s="43" t="n"/>
    </row>
    <row r="20">
      <c r="A20" s="42" t="inlineStr">
        <is>
          <t>TC-ALG-019</t>
        </is>
      </c>
      <c r="B20" s="42" t="inlineStr">
        <is>
          <t>评分判定</t>
        </is>
      </c>
      <c r="C20" s="42" t="inlineStr">
        <is>
          <t>距离 0.2 m 处得分归零（下限边界）</t>
        </is>
      </c>
      <c r="D20" s="42" t="inlineStr">
        <is>
          <t>Medium</t>
        </is>
      </c>
      <c r="E20" s="42" t="inlineStr">
        <is>
          <t>是</t>
        </is>
      </c>
      <c r="F20" s="42" t="inlineStr">
        <is>
          <t>新增</t>
        </is>
      </c>
      <c r="G20" s="42" t="inlineStr">
        <is>
          <t>env.py:180 的线性递减公式</t>
        </is>
      </c>
      <c r="H20" s="42" t="inlineStr">
        <is>
          <t>夹爪-目标距离 = 0.2 m</t>
        </is>
      </c>
      <c r="I20" s="42" t="inlineStr">
        <is>
          <t>按公式 100*(1-(d-0.05)/0.15) 复算</t>
        </is>
      </c>
      <c r="J20" s="42" t="inlineStr">
        <is>
          <t>得分 = 0</t>
        </is>
      </c>
      <c r="K20" s="42" t="inlineStr">
        <is>
          <t>d=0.2 时得分 -0.00</t>
        </is>
      </c>
      <c r="L20" s="42" t="inlineStr">
        <is>
          <t>OK</t>
        </is>
      </c>
      <c r="M20" s="42" t="inlineStr">
        <is>
          <t>边界值分析（下边界 0.2）</t>
        </is>
      </c>
      <c r="N20" s="43" t="n"/>
    </row>
    <row r="21">
      <c r="A21" s="42" t="inlineStr">
        <is>
          <t>TC-ALG-020</t>
        </is>
      </c>
      <c r="B21" s="42" t="inlineStr">
        <is>
          <t>避障策略</t>
        </is>
      </c>
      <c r="C21" s="42" t="inlineStr">
        <is>
          <t>障碍远离目标连线时垂直下抓（bdb&gt;25°）</t>
        </is>
      </c>
      <c r="D21" s="42" t="inlineStr">
        <is>
          <t>High</t>
        </is>
      </c>
      <c r="E21" s="42" t="inlineStr">
        <is>
          <t>是</t>
        </is>
      </c>
      <c r="F21" s="42" t="inlineStr">
        <is>
          <t>新增</t>
        </is>
      </c>
      <c r="G21" s="42" t="inlineStr">
        <is>
          <t>sig_reset 判定表首档 bdb &gt; 25</t>
        </is>
      </c>
      <c r="H21" s="42" t="inlineStr">
        <is>
          <t>bdb = 40°</t>
        </is>
      </c>
      <c r="I21" s="42" t="inlineStr">
        <is>
          <t>构造对应观测并调用 get_action，读取 A4/A5</t>
        </is>
      </c>
      <c r="J21" s="42" t="inlineStr">
        <is>
          <t>A4=10, A5=-90</t>
        </is>
      </c>
      <c r="K21" s="42" t="inlineStr">
        <is>
          <t>请求bdb=40.0° 实测bdb=40.0000000000° bda=-0.1500 -&gt; A4=10.0 A5=-90.0</t>
        </is>
      </c>
      <c r="L21" s="42" t="inlineStr">
        <is>
          <t>OK</t>
        </is>
      </c>
      <c r="M21" s="42" t="inlineStr">
        <is>
          <t>等价类划分（有效等价类）</t>
        </is>
      </c>
      <c r="N21" s="43" t="n"/>
    </row>
    <row r="22">
      <c r="A22" s="42" t="inlineStr">
        <is>
          <t>TC-ALG-021</t>
        </is>
      </c>
      <c r="B22" s="42" t="inlineStr">
        <is>
          <t>避障策略</t>
        </is>
      </c>
      <c r="C22" s="42" t="inlineStr">
        <is>
          <t>障碍远离但仍偏于连线一侧（15&lt;bdb&lt;=25°）</t>
        </is>
      </c>
      <c r="D22" s="42" t="inlineStr">
        <is>
          <t>High</t>
        </is>
      </c>
      <c r="E22" s="42" t="inlineStr">
        <is>
          <t>是</t>
        </is>
      </c>
      <c r="F22" s="42" t="inlineStr">
        <is>
          <t>新增</t>
        </is>
      </c>
      <c r="G22" s="42" t="inlineStr">
        <is>
          <t>判定 bdb&gt;15 成立但不满足 bdb&gt;25</t>
        </is>
      </c>
      <c r="H22" s="42" t="inlineStr">
        <is>
          <t>bdb = 20°</t>
        </is>
      </c>
      <c r="I22" s="42" t="inlineStr">
        <is>
          <t>构造对应观测并调用 get_action，读取 A4/A5</t>
        </is>
      </c>
      <c r="J22" s="42" t="inlineStr">
        <is>
          <t>A5=-120（与 &gt;25° 档的 -90 不同，易混淆）</t>
        </is>
      </c>
      <c r="K22" s="42" t="inlineStr">
        <is>
          <t>请求bdb=20.0° 实测bdb=20.0000000000° bda=-0.1500 -&gt; A4=10.0 A5=-120.0</t>
        </is>
      </c>
      <c r="L22" s="42" t="inlineStr">
        <is>
          <t>OK</t>
        </is>
      </c>
      <c r="M22" s="42" t="inlineStr">
        <is>
          <t>等价类划分（有效等价类）</t>
        </is>
      </c>
      <c r="N22" s="43" t="n"/>
    </row>
    <row r="23">
      <c r="A23" s="42" t="inlineStr">
        <is>
          <t>TC-ALG-022</t>
        </is>
      </c>
      <c r="B23" s="42" t="inlineStr">
        <is>
          <t>避障策略</t>
        </is>
      </c>
      <c r="C23" s="42" t="inlineStr">
        <is>
          <t>bdb=25° 的分档归属（阈值边界）</t>
        </is>
      </c>
      <c r="D23" s="42" t="inlineStr">
        <is>
          <t>Medium</t>
        </is>
      </c>
      <c r="E23" s="42" t="inlineStr">
        <is>
          <t>是</t>
        </is>
      </c>
      <c r="F23" s="42" t="inlineStr">
        <is>
          <t>新增</t>
        </is>
      </c>
      <c r="G23" s="42" t="inlineStr">
        <is>
          <t>判定条件为 bdb &gt; 25</t>
        </is>
      </c>
      <c r="H23" s="42" t="inlineStr">
        <is>
          <t>bdb = 25°</t>
        </is>
      </c>
      <c r="I23" s="42" t="inlineStr">
        <is>
          <t>构造对应观测并读取 A4/A5</t>
        </is>
      </c>
      <c r="J23" s="42" t="inlineStr">
        <is>
          <t>25 不满足 &gt;25，落入 15&lt;bdb&lt;=25 档：A5=-120</t>
        </is>
      </c>
      <c r="K23" s="42" t="inlineStr">
        <is>
          <t>请求bdb=25.0° 实测bdb=25.0000000000° bda=-0.1500 -&gt; A4=10.0 A5=-120.0</t>
        </is>
      </c>
      <c r="L23" s="42" t="inlineStr">
        <is>
          <t>OK</t>
        </is>
      </c>
      <c r="M23" s="42" t="inlineStr">
        <is>
          <t>边界值分析（边界 25）</t>
        </is>
      </c>
      <c r="N23" s="43" t="n"/>
    </row>
    <row r="24">
      <c r="A24" s="42" t="inlineStr">
        <is>
          <t>TC-ALG-023</t>
        </is>
      </c>
      <c r="B24" s="42" t="inlineStr">
        <is>
          <t>避障策略</t>
        </is>
      </c>
      <c r="C24" s="42" t="inlineStr">
        <is>
          <t>bdb=15° 的分档归属（阈值边界）</t>
        </is>
      </c>
      <c r="D24" s="42" t="inlineStr">
        <is>
          <t>Medium</t>
        </is>
      </c>
      <c r="E24" s="42" t="inlineStr">
        <is>
          <t>是</t>
        </is>
      </c>
      <c r="F24" s="42" t="inlineStr">
        <is>
          <t>新增</t>
        </is>
      </c>
      <c r="G24" s="42" t="inlineStr">
        <is>
          <t>判定条件为 bdb &gt; 15</t>
        </is>
      </c>
      <c r="H24" s="42" t="inlineStr">
        <is>
          <t>bdb = 15°</t>
        </is>
      </c>
      <c r="I24" s="42" t="inlineStr">
        <is>
          <t>构造对应观测并读取 A4/A5</t>
        </is>
      </c>
      <c r="J24" s="42" t="inlineStr">
        <is>
          <t>15 不满足 &gt;15，落入 8&lt;bdb&lt;=15 档：A4=0, A5=-130</t>
        </is>
      </c>
      <c r="K24" s="42" t="inlineStr">
        <is>
          <t>请求bdb=15.0° 实测bdb=15.0000000000° bda=-0.1500 -&gt; A4=0.0 A5=-130.0</t>
        </is>
      </c>
      <c r="L24" s="42" t="inlineStr">
        <is>
          <t>OK</t>
        </is>
      </c>
      <c r="M24" s="42" t="inlineStr">
        <is>
          <t>边界值分析（边界 15）</t>
        </is>
      </c>
      <c r="N24" s="43" t="n"/>
    </row>
    <row r="25">
      <c r="A25" s="42" t="inlineStr">
        <is>
          <t>TC-ALG-024</t>
        </is>
      </c>
      <c r="B25" s="42" t="inlineStr">
        <is>
          <t>避障策略</t>
        </is>
      </c>
      <c r="C25" s="42" t="inlineStr">
        <is>
          <t>障碍渐近目标连线时手腕放平（8&lt;bdb&lt;=15°）</t>
        </is>
      </c>
      <c r="D25" s="42" t="inlineStr">
        <is>
          <t>High</t>
        </is>
      </c>
      <c r="E25" s="42" t="inlineStr">
        <is>
          <t>是</t>
        </is>
      </c>
      <c r="F25" s="42" t="inlineStr">
        <is>
          <t>新增</t>
        </is>
      </c>
      <c r="G25" s="42" t="inlineStr">
        <is>
          <t>sig_reset 判定表中段</t>
        </is>
      </c>
      <c r="H25" s="42" t="inlineStr">
        <is>
          <t>bdb = 10°</t>
        </is>
      </c>
      <c r="I25" s="42" t="inlineStr">
        <is>
          <t>构造对应观测并读取 A4/A5</t>
        </is>
      </c>
      <c r="J25" s="42" t="inlineStr">
        <is>
          <t>A4=0, A5=-130</t>
        </is>
      </c>
      <c r="K25" s="42" t="inlineStr">
        <is>
          <t>请求bdb=10.0° 实测bdb=10.0000000000° bda=-0.1500 -&gt; A4=0.0 A5=-130.0</t>
        </is>
      </c>
      <c r="L25" s="42" t="inlineStr">
        <is>
          <t>OK</t>
        </is>
      </c>
      <c r="M25" s="42" t="inlineStr">
        <is>
          <t>等价类划分（有效等价类）</t>
        </is>
      </c>
      <c r="N25" s="43" t="n"/>
    </row>
    <row r="26">
      <c r="A26" s="42" t="inlineStr">
        <is>
          <t>TC-ALG-025</t>
        </is>
      </c>
      <c r="B26" s="42" t="inlineStr">
        <is>
          <t>避障策略</t>
        </is>
      </c>
      <c r="C26" s="42" t="inlineStr">
        <is>
          <t>bdb=8° 的分档归属（阈值边界）</t>
        </is>
      </c>
      <c r="D26" s="42" t="inlineStr">
        <is>
          <t>Medium</t>
        </is>
      </c>
      <c r="E26" s="42" t="inlineStr">
        <is>
          <t>是</t>
        </is>
      </c>
      <c r="F26" s="42" t="inlineStr">
        <is>
          <t>新增</t>
        </is>
      </c>
      <c r="G26" s="42" t="inlineStr">
        <is>
          <t>判定条件为 bdb &gt; 8</t>
        </is>
      </c>
      <c r="H26" s="42" t="inlineStr">
        <is>
          <t>bdb = 8°</t>
        </is>
      </c>
      <c r="I26" s="42" t="inlineStr">
        <is>
          <t>构造对应观测并读取 A4/A5</t>
        </is>
      </c>
      <c r="J26" s="42" t="inlineStr">
        <is>
          <t>8 不满足 &gt;8，落入 6&lt;bdb&lt;=8 档：A4=-5, A5=-140</t>
        </is>
      </c>
      <c r="K26" s="42" t="inlineStr">
        <is>
          <t>请求bdb=8.0° 实测bdb=8.0000000000° bda=-0.1500 -&gt; A4=-5.0 A5=-140.0</t>
        </is>
      </c>
      <c r="L26" s="42" t="inlineStr">
        <is>
          <t>OK</t>
        </is>
      </c>
      <c r="M26" s="42" t="inlineStr">
        <is>
          <t>边界值分析（边界 8）</t>
        </is>
      </c>
      <c r="N26" s="43" t="n"/>
    </row>
    <row r="27">
      <c r="A27" s="42" t="inlineStr">
        <is>
          <t>TC-ALG-026</t>
        </is>
      </c>
      <c r="B27" s="42" t="inlineStr">
        <is>
          <t>避障策略</t>
        </is>
      </c>
      <c r="C27" s="42" t="inlineStr">
        <is>
          <t>bdb=6° 的分档归属（阈值边界）</t>
        </is>
      </c>
      <c r="D27" s="42" t="inlineStr">
        <is>
          <t>Medium</t>
        </is>
      </c>
      <c r="E27" s="42" t="inlineStr">
        <is>
          <t>是</t>
        </is>
      </c>
      <c r="F27" s="42" t="inlineStr">
        <is>
          <t>新增</t>
        </is>
      </c>
      <c r="G27" s="42" t="inlineStr">
        <is>
          <t>判定条件为 bdb &gt; 6</t>
        </is>
      </c>
      <c r="H27" s="42" t="inlineStr">
        <is>
          <t>bdb = 6°，bda &gt; -0.28</t>
        </is>
      </c>
      <c r="I27" s="42" t="inlineStr">
        <is>
          <t>构造对应观测并读取 A4/A5</t>
        </is>
      </c>
      <c r="J27" s="42" t="inlineStr">
        <is>
          <t>6 不满足 &gt;6，落入 3&lt;bdb&lt;=6 档且 bda&gt;-0.28 分支：A4=40, A5=0</t>
        </is>
      </c>
      <c r="K27" s="42" t="inlineStr">
        <is>
          <t>请求bdb=6.0° 实测bdb=6.0000000000° bda=-0.1500 -&gt; A4=40.0 A5=0.0</t>
        </is>
      </c>
      <c r="L27" s="42" t="inlineStr">
        <is>
          <t>OK</t>
        </is>
      </c>
      <c r="M27" s="42" t="inlineStr">
        <is>
          <t>边界值分析（边界 6）</t>
        </is>
      </c>
      <c r="N27" s="43" t="n"/>
    </row>
    <row r="28">
      <c r="A28" s="42" t="inlineStr">
        <is>
          <t>TC-ALG-027</t>
        </is>
      </c>
      <c r="B28" s="42" t="inlineStr">
        <is>
          <t>避障策略</t>
        </is>
      </c>
      <c r="C28" s="42" t="inlineStr">
        <is>
          <t>障碍正对连线且更远时抬肘越障</t>
        </is>
      </c>
      <c r="D28" s="42" t="inlineStr">
        <is>
          <t>High</t>
        </is>
      </c>
      <c r="E28" s="42" t="inlineStr">
        <is>
          <t>是</t>
        </is>
      </c>
      <c r="F28" s="42" t="inlineStr">
        <is>
          <t>新增</t>
        </is>
      </c>
      <c r="G28" s="42" t="inlineStr">
        <is>
          <t>3&lt;bdb&lt;=6 且柱坐标半径差 bda &gt; -0.28</t>
        </is>
      </c>
      <c r="H28" s="42" t="inlineStr">
        <is>
          <t>bdb = 5°，bda &gt; -0.28</t>
        </is>
      </c>
      <c r="I28" s="42" t="inlineStr">
        <is>
          <t>构造对应观测并读取 A4/A5</t>
        </is>
      </c>
      <c r="J28" s="42" t="inlineStr">
        <is>
          <t>A4=40, A5=0（抬肘从障碍上方越过）</t>
        </is>
      </c>
      <c r="K28" s="42" t="inlineStr">
        <is>
          <t>请求bdb=5.0° 实测bdb=5.0000000000° bda=-0.1500 -&gt; A4=40.0 A5=0.0</t>
        </is>
      </c>
      <c r="L28" s="42" t="inlineStr">
        <is>
          <t>OK</t>
        </is>
      </c>
      <c r="M28" s="42" t="inlineStr">
        <is>
          <t>等价类划分（有效等价类）</t>
        </is>
      </c>
      <c r="N28" s="43" t="n"/>
    </row>
    <row r="29">
      <c r="A29" s="42" t="inlineStr">
        <is>
          <t>TC-ALG-028</t>
        </is>
      </c>
      <c r="B29" s="42" t="inlineStr">
        <is>
          <t>避障策略</t>
        </is>
      </c>
      <c r="C29" s="42" t="inlineStr">
        <is>
          <t>障碍正对连线但更近时改走侧向规避</t>
        </is>
      </c>
      <c r="D29" s="42" t="inlineStr">
        <is>
          <t>High</t>
        </is>
      </c>
      <c r="E29" s="42" t="inlineStr">
        <is>
          <t>是</t>
        </is>
      </c>
      <c r="F29" s="42" t="inlineStr">
        <is>
          <t>新增</t>
        </is>
      </c>
      <c r="G29" s="42" t="inlineStr">
        <is>
          <t>3&lt;bdb&lt;=6 且柱坐标半径差 bda &lt;= -0.28</t>
        </is>
      </c>
      <c r="H29" s="42" t="inlineStr">
        <is>
          <t>bdb = 5°，bda &lt;= -0.28</t>
        </is>
      </c>
      <c r="I29" s="42" t="inlineStr">
        <is>
          <t>构造对应观测并读取 A4/A5</t>
        </is>
      </c>
      <c r="J29" s="42" t="inlineStr">
        <is>
          <t>A4=15, A5=-20（不抬肘，改由后续策略侧向绕行）</t>
        </is>
      </c>
      <c r="K29" s="42" t="inlineStr">
        <is>
          <t>请求bdb=5.0° 实测bdb=5.0000000000° bda=-0.5000 -&gt; A4=15.0 A5=-20.0</t>
        </is>
      </c>
      <c r="L29" s="42" t="inlineStr">
        <is>
          <t>OK</t>
        </is>
      </c>
      <c r="M29" s="42" t="inlineStr">
        <is>
          <t>等价类划分（有效等价类）</t>
        </is>
      </c>
      <c r="N29" s="43" t="n"/>
    </row>
    <row r="30">
      <c r="A30" s="42" t="inlineStr">
        <is>
          <t>TC-ALG-029</t>
        </is>
      </c>
      <c r="B30" s="42" t="inlineStr">
        <is>
          <t>避障策略</t>
        </is>
      </c>
      <c r="C30" s="42" t="inlineStr">
        <is>
          <t>bdb=3° 的分档归属（阈值边界）</t>
        </is>
      </c>
      <c r="D30" s="42" t="inlineStr">
        <is>
          <t>Medium</t>
        </is>
      </c>
      <c r="E30" s="42" t="inlineStr">
        <is>
          <t>是</t>
        </is>
      </c>
      <c r="F30" s="42" t="inlineStr">
        <is>
          <t>新增</t>
        </is>
      </c>
      <c r="G30" s="42" t="inlineStr">
        <is>
          <t>判定条件为 bdb &gt; 3</t>
        </is>
      </c>
      <c r="H30" s="42" t="inlineStr">
        <is>
          <t>bdb = 3°</t>
        </is>
      </c>
      <c r="I30" s="42" t="inlineStr">
        <is>
          <t>构造对应观测并读取 A4/A5</t>
        </is>
      </c>
      <c r="J30" s="42" t="inlineStr">
        <is>
          <t>3 不满足 &gt;3，落入 -5&lt;bdb&lt;=3 档：A4=15, A5=-20</t>
        </is>
      </c>
      <c r="K30" s="42" t="inlineStr">
        <is>
          <t>请求bdb=3.0° 实测bdb=3.0000000000° bda=-0.1500 -&gt; A4=40.0 A5=0.0</t>
        </is>
      </c>
      <c r="L30" s="42" t="inlineStr">
        <is>
          <t>OK</t>
        </is>
      </c>
      <c r="M30" s="42" t="inlineStr">
        <is>
          <t>边界值分析（边界 3）</t>
        </is>
      </c>
      <c r="N30" s="43" t="n"/>
    </row>
    <row r="31">
      <c r="A31" s="42" t="inlineStr">
        <is>
          <t>TC-ALG-030</t>
        </is>
      </c>
      <c r="B31" s="42" t="inlineStr">
        <is>
          <t>避障策略</t>
        </is>
      </c>
      <c r="C31" s="42" t="inlineStr">
        <is>
          <t>bdb=-5° 的分档归属（阈值边界）</t>
        </is>
      </c>
      <c r="D31" s="42" t="inlineStr">
        <is>
          <t>Medium</t>
        </is>
      </c>
      <c r="E31" s="42" t="inlineStr">
        <is>
          <t>是</t>
        </is>
      </c>
      <c r="F31" s="42" t="inlineStr">
        <is>
          <t>新增</t>
        </is>
      </c>
      <c r="G31" s="42" t="inlineStr">
        <is>
          <t>判定条件为 bdb &gt; -5</t>
        </is>
      </c>
      <c r="H31" s="42" t="inlineStr">
        <is>
          <t>bdb = -5°</t>
        </is>
      </c>
      <c r="I31" s="42" t="inlineStr">
        <is>
          <t>构造对应观测并读取 A4/A5</t>
        </is>
      </c>
      <c r="J31" s="42" t="inlineStr">
        <is>
          <t>-5 不满足 &gt;-5，落入 -15&lt;bdb&lt;=-5 档：A4=10, A5=-20</t>
        </is>
      </c>
      <c r="K31" s="42" t="inlineStr">
        <is>
          <t>请求bdb=-5.0° 实测bdb=-5.0000000000° bda=-0.1500 -&gt; A4=10.0 A5=-20.0</t>
        </is>
      </c>
      <c r="L31" s="42" t="inlineStr">
        <is>
          <t>OK</t>
        </is>
      </c>
      <c r="M31" s="42" t="inlineStr">
        <is>
          <t>边界值分析（边界 -5）</t>
        </is>
      </c>
      <c r="N31" s="43" t="n"/>
    </row>
    <row r="32">
      <c r="A32" s="42" t="inlineStr">
        <is>
          <t>TC-ALG-031</t>
        </is>
      </c>
      <c r="B32" s="42" t="inlineStr">
        <is>
          <t>避障策略</t>
        </is>
      </c>
      <c r="C32" s="42" t="inlineStr">
        <is>
          <t>bdb=-15° 的分档归属（阈值边界）</t>
        </is>
      </c>
      <c r="D32" s="42" t="inlineStr">
        <is>
          <t>Medium</t>
        </is>
      </c>
      <c r="E32" s="42" t="inlineStr">
        <is>
          <t>是</t>
        </is>
      </c>
      <c r="F32" s="42" t="inlineStr">
        <is>
          <t>新增</t>
        </is>
      </c>
      <c r="G32" s="42" t="inlineStr">
        <is>
          <t>判定条件为 bdb &gt; -15</t>
        </is>
      </c>
      <c r="H32" s="42" t="inlineStr">
        <is>
          <t>bdb = -15°</t>
        </is>
      </c>
      <c r="I32" s="42" t="inlineStr">
        <is>
          <t>构造对应观测并读取 A4/A5</t>
        </is>
      </c>
      <c r="J32" s="42" t="inlineStr">
        <is>
          <t>-15 不满足 &gt;-15，落入 -25&lt;bdb&lt;=-15 档：A4=10, A5=-50</t>
        </is>
      </c>
      <c r="K32" s="42" t="inlineStr">
        <is>
          <t>请求bdb=-15.0° 实测bdb=-15.0000000000° bda=-0.1500 -&gt; A4=10.0 A5=-20.0</t>
        </is>
      </c>
      <c r="L32" s="42" t="inlineStr">
        <is>
          <t>OK</t>
        </is>
      </c>
      <c r="M32" s="42" t="inlineStr">
        <is>
          <t>边界值分析（边界 -15）</t>
        </is>
      </c>
      <c r="N32" s="43" t="n"/>
    </row>
    <row r="33">
      <c r="A33" s="42" t="inlineStr">
        <is>
          <t>TC-ALG-032</t>
        </is>
      </c>
      <c r="B33" s="42" t="inlineStr">
        <is>
          <t>避障策略</t>
        </is>
      </c>
      <c r="C33" s="42" t="inlineStr">
        <is>
          <t>bdb=-25° 的边界归属与档末姿态</t>
        </is>
      </c>
      <c r="D33" s="42" t="inlineStr">
        <is>
          <t>Medium</t>
        </is>
      </c>
      <c r="E33" s="42" t="inlineStr">
        <is>
          <t>是</t>
        </is>
      </c>
      <c r="F33" s="42" t="inlineStr">
        <is>
          <t>新增</t>
        </is>
      </c>
      <c r="G33" s="42" t="inlineStr">
        <is>
          <t>判定条件为 bdb &gt; -25</t>
        </is>
      </c>
      <c r="H33" s="42" t="inlineStr">
        <is>
          <t>bdb = -25°</t>
        </is>
      </c>
      <c r="I33" s="42" t="inlineStr">
        <is>
          <t>构造对应观测并读取 A4/A5</t>
        </is>
      </c>
      <c r="J33" s="42" t="inlineStr">
        <is>
          <t>-25 不满足 &gt;-25，落入 bdb&lt;=-25 档：A4=10, A5=-90</t>
        </is>
      </c>
      <c r="K33" s="42" t="inlineStr">
        <is>
          <t>请求bdb=-25.0° 实测bdb=-25.0000000000° bda=-0.1500 -&gt; A4=10.0 A5=-90.0</t>
        </is>
      </c>
      <c r="L33" s="42" t="inlineStr">
        <is>
          <t>OK</t>
        </is>
      </c>
      <c r="M33" s="42" t="inlineStr">
        <is>
          <t>边界值分析（边界 -25）</t>
        </is>
      </c>
      <c r="N33" s="43" t="n"/>
    </row>
    <row r="34">
      <c r="A34" s="42" t="inlineStr">
        <is>
          <t>TC-ALG-033</t>
        </is>
      </c>
      <c r="B34" s="42" t="inlineStr">
        <is>
          <t>避障策略</t>
        </is>
      </c>
      <c r="C34" s="42" t="inlineStr">
        <is>
          <t>A5&gt;-90 时登记基座左转策略</t>
        </is>
      </c>
      <c r="D34" s="42" t="inlineStr">
        <is>
          <t>Medium</t>
        </is>
      </c>
      <c r="E34" s="42" t="inlineStr">
        <is>
          <t>是</t>
        </is>
      </c>
      <c r="F34" s="42" t="inlineStr">
        <is>
          <t>新增</t>
        </is>
      </c>
      <c r="G34" s="42" t="inlineStr">
        <is>
          <t>策略标记由 A5 与 -90 的大小关系推导</t>
        </is>
      </c>
      <c r="H34" s="42" t="inlineStr">
        <is>
          <t>bdb = 5°（A5=0）</t>
        </is>
      </c>
      <c r="I34" s="42" t="inlineStr">
        <is>
          <t>检查 strategies 集合是否含 A1Left</t>
        </is>
      </c>
      <c r="J34" s="42" t="inlineStr">
        <is>
          <t>strategies 含 A1Left</t>
        </is>
      </c>
      <c r="K34" s="42" t="inlineStr">
        <is>
          <t>请求bdb=5.0° 实测bdb=5.0000000000° bda=-0.1500 -&gt; A4=40.0 A5=0.0，含 A1Left</t>
        </is>
      </c>
      <c r="L34" s="42" t="inlineStr">
        <is>
          <t>OK</t>
        </is>
      </c>
      <c r="M34" s="42" t="inlineStr">
        <is>
          <t>等价类划分（策略标记）</t>
        </is>
      </c>
      <c r="N34" s="43" t="n"/>
    </row>
    <row r="35">
      <c r="A35" s="42" t="inlineStr">
        <is>
          <t>TC-ALG-034</t>
        </is>
      </c>
      <c r="B35" s="42" t="inlineStr">
        <is>
          <t>避障策略</t>
        </is>
      </c>
      <c r="C35" s="42" t="inlineStr">
        <is>
          <t>A5&lt;-90 时登记基座右转策略</t>
        </is>
      </c>
      <c r="D35" s="42" t="inlineStr">
        <is>
          <t>Medium</t>
        </is>
      </c>
      <c r="E35" s="42" t="inlineStr">
        <is>
          <t>是</t>
        </is>
      </c>
      <c r="F35" s="42" t="inlineStr">
        <is>
          <t>新增</t>
        </is>
      </c>
      <c r="G35" s="42" t="inlineStr">
        <is>
          <t>同上</t>
        </is>
      </c>
      <c r="H35" s="42" t="inlineStr">
        <is>
          <t>bdb = 10°（A5=-130）</t>
        </is>
      </c>
      <c r="I35" s="42" t="inlineStr">
        <is>
          <t>检查 strategies 集合是否含 A1Right</t>
        </is>
      </c>
      <c r="J35" s="42" t="inlineStr">
        <is>
          <t>strategies 含 A1Right</t>
        </is>
      </c>
      <c r="K35" s="42" t="inlineStr">
        <is>
          <t>请求bdb=10.0° 实测bdb=10.0000000000° bda=-0.1500 -&gt; A4=0.0 A5=-130.0，含 A1Right</t>
        </is>
      </c>
      <c r="L35" s="42" t="inlineStr">
        <is>
          <t>OK</t>
        </is>
      </c>
      <c r="M35" s="42" t="inlineStr">
        <is>
          <t>等价类划分（策略标记）</t>
        </is>
      </c>
      <c r="N35" s="43" t="n"/>
    </row>
    <row r="36">
      <c r="A36" s="42" t="inlineStr">
        <is>
          <t>TC-ALG-035</t>
        </is>
      </c>
      <c r="B36" s="42" t="inlineStr">
        <is>
          <t>避障策略</t>
        </is>
      </c>
      <c r="C36" s="42" t="inlineStr">
        <is>
          <t>A5 恰为 -90 时不产生基座方向策略（边界）</t>
        </is>
      </c>
      <c r="D36" s="42" t="inlineStr">
        <is>
          <t>Low</t>
        </is>
      </c>
      <c r="E36" s="42" t="inlineStr">
        <is>
          <t>是</t>
        </is>
      </c>
      <c r="F36" s="42" t="inlineStr">
        <is>
          <t>新增</t>
        </is>
      </c>
      <c r="G36" s="42" t="inlineStr">
        <is>
          <t>判定为 A5&gt;-90 与 A5&lt;-90，两者均为严格不等</t>
        </is>
      </c>
      <c r="H36" s="42" t="inlineStr">
        <is>
          <t>bdb = 40°（A5=-90）</t>
        </is>
      </c>
      <c r="I36" s="42" t="inlineStr">
        <is>
          <t>检查 strategies 是否含 A1Left/A1Right</t>
        </is>
      </c>
      <c r="J36" s="42" t="inlineStr">
        <is>
          <t>两者均不含</t>
        </is>
      </c>
      <c r="K36" s="42" t="inlineStr">
        <is>
          <t>bdb=40.0000° A5=-90.0 时 strategies=['A2Up', 'A3Up', 'A4Up']（不含 A1 方向）</t>
        </is>
      </c>
      <c r="L36" s="42" t="inlineStr">
        <is>
          <t>OK</t>
        </is>
      </c>
      <c r="M36" s="42" t="inlineStr">
        <is>
          <t>边界值分析（边界 -90）</t>
        </is>
      </c>
      <c r="N36" s="43" t="n"/>
    </row>
    <row r="37">
      <c r="A37" s="42" t="inlineStr">
        <is>
          <t>TC-ALG-036</t>
        </is>
      </c>
      <c r="B37" s="42" t="inlineStr">
        <is>
          <t>避障策略</t>
        </is>
      </c>
      <c r="C37" s="42" t="inlineStr">
        <is>
          <t>构造参数 DFL 强制覆盖查表姿态</t>
        </is>
      </c>
      <c r="D37" s="42" t="inlineStr">
        <is>
          <t>Medium</t>
        </is>
      </c>
      <c r="E37" s="42" t="inlineStr">
        <is>
          <t>是</t>
        </is>
      </c>
      <c r="F37" s="42" t="inlineStr">
        <is>
          <t>新增</t>
        </is>
      </c>
      <c r="G37" s="42" t="inlineStr">
        <is>
          <t>构造时传入 A4/A5/A6</t>
        </is>
      </c>
      <c r="H37" s="42" t="inlineStr">
        <is>
          <t>MyCustomAlgorithm(A4=0, A5=-30, A6=45)，bdb=10°</t>
        </is>
      </c>
      <c r="I37" s="42" t="inlineStr">
        <is>
          <t>调用 get_action 后读取 A4/A5/A6</t>
        </is>
      </c>
      <c r="J37" s="42" t="inlineStr">
        <is>
          <t>A4=0, A5=-30, A6=45（覆盖查表结果 A5=-130）</t>
        </is>
      </c>
      <c r="K37" s="42" t="inlineStr">
        <is>
          <t>DFL 覆盖后 A4=0.0 A5=-30.0 A6=45.0</t>
        </is>
      </c>
      <c r="L37" s="42" t="inlineStr">
        <is>
          <t>OK</t>
        </is>
      </c>
      <c r="M37" s="42" t="inlineStr">
        <is>
          <t>等价类划分（参数覆盖）</t>
        </is>
      </c>
      <c r="N37" s="43" t="n"/>
    </row>
    <row r="38">
      <c r="A38" s="42" t="inlineStr">
        <is>
          <t>TC-ALG-037</t>
        </is>
      </c>
      <c r="B38" s="42" t="inlineStr">
        <is>
          <t>逆解健壮性</t>
        </is>
      </c>
      <c r="C38" s="42" t="inlineStr">
        <is>
          <t>目标超工作空间时的数值健壮性</t>
        </is>
      </c>
      <c r="D38" s="42" t="inlineStr">
        <is>
          <t>High</t>
        </is>
      </c>
      <c r="E38" s="42" t="inlineStr">
        <is>
          <t>是</t>
        </is>
      </c>
      <c r="F38" s="42" t="inlineStr">
        <is>
          <t>新增</t>
        </is>
      </c>
      <c r="G38" s="42" t="inlineStr">
        <is>
          <t>机械臂 l2+l3 = 0.82001 m</t>
        </is>
      </c>
      <c r="H38" s="42" t="inlineStr">
        <is>
          <t>目标 (0, 1.6, 0.2)，超出可达范围</t>
        </is>
      </c>
      <c r="I38" s="42" t="inlineStr">
        <is>
          <t>调用 get_action，捕获数值异常</t>
        </is>
      </c>
      <c r="J38" s="42" t="inlineStr">
        <is>
          <t>不抛 arccos 定义域异常，返回动作或 None</t>
        </is>
      </c>
      <c r="K38" s="42" t="inlineStr">
        <is>
          <t>超程目标处理正常，返回 NoneType</t>
        </is>
      </c>
      <c r="L38" s="42" t="inlineStr">
        <is>
          <t>OK</t>
        </is>
      </c>
      <c r="M38" s="42" t="inlineStr">
        <is>
          <t>边界值分析（可达半径外）</t>
        </is>
      </c>
      <c r="N38" s="43" t="n"/>
    </row>
    <row r="39">
      <c r="A39" s="42" t="inlineStr">
        <is>
          <t>TC-ALG-038</t>
        </is>
      </c>
      <c r="B39" s="42" t="inlineStr">
        <is>
          <t>关节限幅</t>
        </is>
      </c>
      <c r="C39" s="42" t="inlineStr">
        <is>
          <t>解算结果相对基准角的单关节变化不超过 100°</t>
        </is>
      </c>
      <c r="D39" s="42" t="inlineStr">
        <is>
          <t>High</t>
        </is>
      </c>
      <c r="E39" s="42" t="inlineStr">
        <is>
          <t>是</t>
        </is>
      </c>
      <c r="F39" s="42" t="inlineStr">
        <is>
          <t>新增</t>
        </is>
      </c>
      <c r="G39" s="42" t="inlineStr">
        <is>
          <t>100 步 × 1°/步 的步数预算</t>
        </is>
      </c>
      <c r="H39" s="42" t="inlineStr">
        <is>
          <t>随机种子 1000 的目标与障碍</t>
        </is>
      </c>
      <c r="I39" s="42" t="inlineStr">
        <is>
          <t>取 alg.target 与 alg.base_angles 求最大绝对差</t>
        </is>
      </c>
      <c r="J39" s="42" t="inlineStr">
        <is>
          <t>最大单关节变化 ≤ 100°</t>
        </is>
      </c>
      <c r="K39" s="42" t="inlineStr">
        <is>
          <t>最大单关节变化 100.000°（限值 100°）</t>
        </is>
      </c>
      <c r="L39" s="42" t="inlineStr">
        <is>
          <t>OK</t>
        </is>
      </c>
      <c r="M39" s="42" t="inlineStr">
        <is>
          <t>边界值分析（限值 100）</t>
        </is>
      </c>
      <c r="N39" s="43" t="n"/>
    </row>
    <row r="40">
      <c r="A40" s="42" t="inlineStr">
        <is>
          <t>TC-ALG-039</t>
        </is>
      </c>
      <c r="B40" s="42" t="inlineStr">
        <is>
          <t>异常安全</t>
        </is>
      </c>
      <c r="C40" s="42" t="inlineStr">
        <is>
          <t>弃权返回 None 对下游调用的影响</t>
        </is>
      </c>
      <c r="D40" s="42" t="inlineStr">
        <is>
          <t>High</t>
        </is>
      </c>
      <c r="E40" s="42" t="inlineStr">
        <is>
          <t>是</t>
        </is>
      </c>
      <c r="F40" s="42" t="inlineStr">
        <is>
          <t>新增</t>
        </is>
      </c>
      <c r="G40" s="42" t="inlineStr">
        <is>
          <t>env.step 会对动作执行 np.clip(action,-1,1)</t>
        </is>
      </c>
      <c r="H40" s="42" t="inlineStr">
        <is>
          <t>起始关节角全 0、解算需超过 100° 变化的观测</t>
        </is>
      </c>
      <c r="I40" s="42" t="inlineStr">
        <is>
          <t>调用 get_action；对返回值执行 np.clip 模拟 env.step</t>
        </is>
      </c>
      <c r="J40" s="42" t="inlineStr">
        <is>
          <t>不返回 None，或调用方有明确处理，不导致运行中断</t>
        </is>
      </c>
      <c r="K40" s="42" t="inlineStr">
        <is>
          <t>返回 None，env.step 中 np.clip 抛出 TypeError: '&gt;=' not supported between instances of 'NoneType' and 'int'</t>
        </is>
      </c>
      <c r="L40" s="42" t="inlineStr">
        <is>
          <t>NG</t>
        </is>
      </c>
      <c r="M40" s="42" t="inlineStr">
        <is>
          <t>场景法（异常路径）</t>
        </is>
      </c>
      <c r="N40" s="43" t="n"/>
    </row>
    <row r="41">
      <c r="A41" s="42" t="inlineStr">
        <is>
          <t>TC-ALG-040</t>
        </is>
      </c>
      <c r="B41" s="42" t="inlineStr">
        <is>
          <t>动作输出</t>
        </is>
      </c>
      <c r="C41" s="42" t="inlineStr">
        <is>
          <t>输出动作量级落在 env 裁剪区间内</t>
        </is>
      </c>
      <c r="D41" s="42" t="inlineStr">
        <is>
          <t>Medium</t>
        </is>
      </c>
      <c r="E41" s="42" t="inlineStr">
        <is>
          <t>是</t>
        </is>
      </c>
      <c r="F41" s="42" t="inlineStr">
        <is>
          <t>新增</t>
        </is>
      </c>
      <c r="G41" s="42" t="inlineStr">
        <is>
          <t>env.py:122-123 将动作裁剪到 [-1,1]</t>
        </is>
      </c>
      <c r="H41" s="42" t="inlineStr">
        <is>
          <t>中立位附近 50 组随机观测</t>
        </is>
      </c>
      <c r="I41" s="42" t="inlineStr">
        <is>
          <t>统计返回动作的最大绝对值</t>
        </is>
      </c>
      <c r="J41" s="42" t="inlineStr">
        <is>
          <t>动作量级与 1°/步 的预算相称，裁剪后不失真</t>
        </is>
      </c>
      <c r="K41" s="42" t="inlineStr">
        <is>
          <t>50 组样本动作最大绝对值 100.000（env 侧裁剪为 [-1,1]，单位：度/步）</t>
        </is>
      </c>
      <c r="L41" s="42" t="inlineStr">
        <is>
          <t>OK</t>
        </is>
      </c>
      <c r="M41" s="42" t="inlineStr">
        <is>
          <t>等价类划分（输出值域）</t>
        </is>
      </c>
      <c r="N41" s="43" t="n"/>
    </row>
    <row r="42">
      <c r="A42" s="42" t="inlineStr">
        <is>
          <t>TC-ALG-041</t>
        </is>
      </c>
      <c r="B42" s="42" t="inlineStr">
        <is>
          <t>回合重置</t>
        </is>
      </c>
      <c r="C42" s="42" t="inlineStr">
        <is>
          <t>sig_reset 重置内部步进计数</t>
        </is>
      </c>
      <c r="D42" s="42" t="inlineStr">
        <is>
          <t>Medium</t>
        </is>
      </c>
      <c r="E42" s="42" t="inlineStr">
        <is>
          <t>是</t>
        </is>
      </c>
      <c r="F42" s="42" t="inlineStr">
        <is>
          <t>新增</t>
        </is>
      </c>
      <c r="G42" s="42" t="inlineStr">
        <is>
          <t>分阶段抬臂阈值使用 80-step</t>
        </is>
      </c>
      <c r="H42" s="42" t="inlineStr">
        <is>
          <t>同一回合连续调用 6 次后更换目标</t>
        </is>
      </c>
      <c r="I42" s="42" t="inlineStr">
        <is>
          <t>检查 alg.step 是否归 1</t>
        </is>
      </c>
      <c r="J42" s="42" t="inlineStr">
        <is>
          <t>换回合后 step 重置为 1</t>
        </is>
      </c>
      <c r="K42" s="42" t="inlineStr">
        <is>
          <t>连续 6 次后 step=6，换目标后 step=1（预期 1）</t>
        </is>
      </c>
      <c r="L42" s="42" t="inlineStr">
        <is>
          <t>OK</t>
        </is>
      </c>
      <c r="M42" s="42" t="inlineStr">
        <is>
          <t>场景法（回合切换）</t>
        </is>
      </c>
      <c r="N42" s="43" t="n"/>
    </row>
    <row r="43">
      <c r="A43" s="42" t="inlineStr">
        <is>
          <t>TC-ALG-042</t>
        </is>
      </c>
      <c r="B43" s="42" t="inlineStr">
        <is>
          <t>端到端场景</t>
        </is>
      </c>
      <c r="C43" s="42" t="inlineStr">
        <is>
          <t>障碍正对目标时的完整抓取回合</t>
        </is>
      </c>
      <c r="D43" s="42" t="inlineStr">
        <is>
          <t>High</t>
        </is>
      </c>
      <c r="E43" s="42" t="inlineStr">
        <is>
          <t>是</t>
        </is>
      </c>
      <c r="F43" s="42" t="inlineStr">
        <is>
          <t>新增</t>
        </is>
      </c>
      <c r="G43" s="42" t="inlineStr">
        <is>
          <t>Mock 环境，初始位姿为 env.py 中立位</t>
        </is>
      </c>
      <c r="H43" s="42" t="inlineStr">
        <is>
          <t>目标 (0,0.85,0.2)，障碍 (0,0.6,0.2)，最多 100 步</t>
        </is>
      </c>
      <c r="I43" s="42" t="inlineStr">
        <is>
          <t>循环 get_action/step 至终止，记录最终夹爪-目标距离</t>
        </is>
      </c>
      <c r="J43" s="42" t="inlineStr">
        <is>
          <t>最终距离 ≤ 0.05 m</t>
        </is>
      </c>
      <c r="K43" s="42" t="inlineStr">
        <is>
          <t>100 步结束，最终夹爪-目标距离 0.18612 m（阈值 0.05），得分 9.25</t>
        </is>
      </c>
      <c r="L43" s="42" t="inlineStr">
        <is>
          <t>NG</t>
        </is>
      </c>
      <c r="M43" s="42" t="inlineStr">
        <is>
          <t>场景法（正常抓取流程）</t>
        </is>
      </c>
      <c r="N43" s="43" t="n"/>
    </row>
    <row r="44">
      <c r="A44" s="42" t="inlineStr">
        <is>
          <t>TC-ALG-043</t>
        </is>
      </c>
      <c r="B44" s="42" t="inlineStr">
        <is>
          <t>端到端场景</t>
        </is>
      </c>
      <c r="C44" s="42" t="inlineStr">
        <is>
          <t>障碍右偏时绕行抓取回合</t>
        </is>
      </c>
      <c r="D44" s="42" t="inlineStr">
        <is>
          <t>High</t>
        </is>
      </c>
      <c r="E44" s="42" t="inlineStr">
        <is>
          <t>是</t>
        </is>
      </c>
      <c r="F44" s="42" t="inlineStr">
        <is>
          <t>新增</t>
        </is>
      </c>
      <c r="G44" s="42" t="inlineStr">
        <is>
          <t>同上</t>
        </is>
      </c>
      <c r="H44" s="42" t="inlineStr">
        <is>
          <t>目标 (0,0.85,0.2)，障碍 (0.2,0.6,0.2)</t>
        </is>
      </c>
      <c r="I44" s="42" t="inlineStr">
        <is>
          <t>跑完整回合并记录最终距离</t>
        </is>
      </c>
      <c r="J44" s="42" t="inlineStr">
        <is>
          <t>最终距离 ≤ 0.05 m</t>
        </is>
      </c>
      <c r="K44" s="42" t="inlineStr">
        <is>
          <t>100 步结束，最终距离 0.18612 m，得分 9.25</t>
        </is>
      </c>
      <c r="L44" s="42" t="inlineStr">
        <is>
          <t>NG</t>
        </is>
      </c>
      <c r="M44" s="42" t="inlineStr">
        <is>
          <t>场景法（避障绕行）</t>
        </is>
      </c>
      <c r="N44" s="43" t="n"/>
    </row>
    <row r="45">
      <c r="A45" s="42" t="inlineStr">
        <is>
          <t>TC-ALG-044</t>
        </is>
      </c>
      <c r="B45" s="42" t="inlineStr">
        <is>
          <t>端到端场景</t>
        </is>
      </c>
      <c r="C45" s="42" t="inlineStr">
        <is>
          <t>障碍左偏时绕行抓取回合</t>
        </is>
      </c>
      <c r="D45" s="42" t="inlineStr">
        <is>
          <t>High</t>
        </is>
      </c>
      <c r="E45" s="42" t="inlineStr">
        <is>
          <t>是</t>
        </is>
      </c>
      <c r="F45" s="42" t="inlineStr">
        <is>
          <t>新增</t>
        </is>
      </c>
      <c r="G45" s="42" t="inlineStr">
        <is>
          <t>同上</t>
        </is>
      </c>
      <c r="H45" s="42" t="inlineStr">
        <is>
          <t>目标 (0,0.85,0.2)，障碍 (-0.2,0.6,0.2)</t>
        </is>
      </c>
      <c r="I45" s="42" t="inlineStr">
        <is>
          <t>跑完整回合并记录最终距离</t>
        </is>
      </c>
      <c r="J45" s="42" t="inlineStr">
        <is>
          <t>最终距离 ≤ 0.05 m</t>
        </is>
      </c>
      <c r="K45" s="42" t="inlineStr">
        <is>
          <t>100 步结束，最终距离 0.18612 m，得分 9.25</t>
        </is>
      </c>
      <c r="L45" s="42" t="inlineStr">
        <is>
          <t>NG</t>
        </is>
      </c>
      <c r="M45" s="42" t="inlineStr">
        <is>
          <t>场景法（避障绕行）</t>
        </is>
      </c>
      <c r="N45" s="43" t="n"/>
    </row>
    <row r="46">
      <c r="A46" s="42" t="inlineStr">
        <is>
          <t>TC-ALG-045</t>
        </is>
      </c>
      <c r="B46" s="42" t="inlineStr">
        <is>
          <t>端到端场景</t>
        </is>
      </c>
      <c r="C46" s="42" t="inlineStr">
        <is>
          <t>目标位于分布左端的抓取回合</t>
        </is>
      </c>
      <c r="D46" s="42" t="inlineStr">
        <is>
          <t>Medium</t>
        </is>
      </c>
      <c r="E46" s="42" t="inlineStr">
        <is>
          <t>是</t>
        </is>
      </c>
      <c r="F46" s="42" t="inlineStr">
        <is>
          <t>新增</t>
        </is>
      </c>
      <c r="G46" s="42" t="inlineStr">
        <is>
          <t>目标 x 分布下界 -0.2</t>
        </is>
      </c>
      <c r="H46" s="42" t="inlineStr">
        <is>
          <t>目标 (-0.2,0.8,0.1)，障碍 (-0.1,0.6,0.2)</t>
        </is>
      </c>
      <c r="I46" s="42" t="inlineStr">
        <is>
          <t>跑完整回合并记录最终距离</t>
        </is>
      </c>
      <c r="J46" s="42" t="inlineStr">
        <is>
          <t>最终距离 ≤ 0.05 m</t>
        </is>
      </c>
      <c r="K46" s="42" t="inlineStr">
        <is>
          <t>100 步结束，最终距离 0.18612 m，得分 9.25</t>
        </is>
      </c>
      <c r="L46" s="42" t="inlineStr">
        <is>
          <t>NG</t>
        </is>
      </c>
      <c r="M46" s="42" t="inlineStr">
        <is>
          <t>边界值分析（目标分布下界）</t>
        </is>
      </c>
      <c r="N46" s="43" t="n"/>
    </row>
    <row r="47">
      <c r="A47" s="42" t="inlineStr">
        <is>
          <t>TC-ALG-046</t>
        </is>
      </c>
      <c r="B47" s="42" t="inlineStr">
        <is>
          <t>端到端场景</t>
        </is>
      </c>
      <c r="C47" s="42" t="inlineStr">
        <is>
          <t>目标位于分布右上的抓取回合</t>
        </is>
      </c>
      <c r="D47" s="42" t="inlineStr">
        <is>
          <t>Medium</t>
        </is>
      </c>
      <c r="E47" s="42" t="inlineStr">
        <is>
          <t>是</t>
        </is>
      </c>
      <c r="F47" s="42" t="inlineStr">
        <is>
          <t>新增</t>
        </is>
      </c>
      <c r="G47" s="42" t="inlineStr">
        <is>
          <t>目标 x/y/z 分布上界 0.2/0.9/0.3</t>
        </is>
      </c>
      <c r="H47" s="42" t="inlineStr">
        <is>
          <t>目标 (0.2,0.9,0.3)，障碍 (0,0.6,0.2)</t>
        </is>
      </c>
      <c r="I47" s="42" t="inlineStr">
        <is>
          <t>跑完整回合并记录最终距离</t>
        </is>
      </c>
      <c r="J47" s="42" t="inlineStr">
        <is>
          <t>最终距离 ≤ 0.05 m</t>
        </is>
      </c>
      <c r="K47" s="42" t="inlineStr">
        <is>
          <t>100 步结束，最终距离 0.18612 m，得分 9.25</t>
        </is>
      </c>
      <c r="L47" s="42" t="inlineStr">
        <is>
          <t>NG</t>
        </is>
      </c>
      <c r="M47" s="42" t="inlineStr">
        <is>
          <t>边界值分析（目标分布上界）</t>
        </is>
      </c>
      <c r="N47" s="43" t="n"/>
    </row>
    <row r="48">
      <c r="A48" s="42" t="inlineStr">
        <is>
          <t>TC-ALG-047</t>
        </is>
      </c>
      <c r="B48" s="42" t="inlineStr">
        <is>
          <t>端到端场景</t>
        </is>
      </c>
      <c r="C48" s="42" t="inlineStr">
        <is>
          <t>低年级组评分档位下的完整回合</t>
        </is>
      </c>
      <c r="D48" s="42" t="inlineStr">
        <is>
          <t>Medium</t>
        </is>
      </c>
      <c r="E48" s="42" t="inlineStr">
        <is>
          <t>是</t>
        </is>
      </c>
      <c r="F48" s="42" t="inlineStr">
        <is>
          <t>新增</t>
        </is>
      </c>
      <c r="G48" s="42" t="inlineStr">
        <is>
          <t>is_senior=False，碰撞惩罚系数 0.5</t>
        </is>
      </c>
      <c r="H48" s="42" t="inlineStr">
        <is>
          <t>目标 (0,0.85,0.2)，障碍 (0,0.6,0.2)，is_senior=False</t>
        </is>
      </c>
      <c r="I48" s="42" t="inlineStr">
        <is>
          <t>跑完整回合并记录最终距离与得分</t>
        </is>
      </c>
      <c r="J48" s="42" t="inlineStr">
        <is>
          <t>最终距离 ≤ 0.05 m</t>
        </is>
      </c>
      <c r="K48" s="42" t="inlineStr">
        <is>
          <t>低年级组：100 步结束，最终距离 0.18612 m，得分 9.25</t>
        </is>
      </c>
      <c r="L48" s="42" t="inlineStr">
        <is>
          <t>NG</t>
        </is>
      </c>
      <c r="M48" s="42" t="inlineStr">
        <is>
          <t>等价类划分（组别参数）</t>
        </is>
      </c>
      <c r="N48" s="43" t="n"/>
    </row>
    <row r="49">
      <c r="A49" s="42" t="inlineStr">
        <is>
          <t>TC-ALG-048</t>
        </is>
      </c>
      <c r="B49" s="42" t="inlineStr">
        <is>
          <t>端到端场景</t>
        </is>
      </c>
      <c r="C49" s="42" t="inlineStr">
        <is>
          <t>多随机回合抓取成功率</t>
        </is>
      </c>
      <c r="D49" s="42" t="inlineStr">
        <is>
          <t>High</t>
        </is>
      </c>
      <c r="E49" s="42" t="inlineStr">
        <is>
          <t>是</t>
        </is>
      </c>
      <c r="F49" s="42" t="inlineStr">
        <is>
          <t>新增</t>
        </is>
      </c>
      <c r="G49" s="42" t="inlineStr">
        <is>
          <t>10 个不同随机种子</t>
        </is>
      </c>
      <c r="H49" s="42" t="inlineStr">
        <is>
          <t>种子 1000~1009，各自随机目标与障碍</t>
        </is>
      </c>
      <c r="I49" s="42" t="inlineStr">
        <is>
          <t>逐回合执行并统计最终距离 ≤0.05 的比例</t>
        </is>
      </c>
      <c r="J49" s="42" t="inlineStr">
        <is>
          <t>成功率 ≥ 80%</t>
        </is>
      </c>
      <c r="K49" s="42" t="inlineStr">
        <is>
          <t>10 个随机回合成功率 0%，最终距离均值 0.18612 m（要求 ≥80%）</t>
        </is>
      </c>
      <c r="L49" s="42" t="inlineStr">
        <is>
          <t>NG</t>
        </is>
      </c>
      <c r="M49" s="42" t="inlineStr">
        <is>
          <t>场景法（批量稳定性）</t>
        </is>
      </c>
      <c r="N49" s="43" t="n"/>
    </row>
    <row r="50">
      <c r="A50" s="42" t="inlineStr">
        <is>
          <t>TC-ALG-049</t>
        </is>
      </c>
      <c r="B50" s="42" t="inlineStr">
        <is>
          <t>端到端场景</t>
        </is>
      </c>
      <c r="C50" s="42" t="inlineStr">
        <is>
          <t>单回合步数不超过 100 步上限</t>
        </is>
      </c>
      <c r="D50" s="42" t="inlineStr">
        <is>
          <t>High</t>
        </is>
      </c>
      <c r="E50" s="42" t="inlineStr">
        <is>
          <t>是</t>
        </is>
      </c>
      <c r="F50" s="42" t="inlineStr">
        <is>
          <t>新增</t>
        </is>
      </c>
      <c r="G50" s="42" t="inlineStr">
        <is>
          <t>env.max_steps = 100</t>
        </is>
      </c>
      <c r="H50" s="42" t="inlineStr">
        <is>
          <t>随机种子 1000 的回合</t>
        </is>
      </c>
      <c r="I50" s="42" t="inlineStr">
        <is>
          <t>统计回合实际执行步数</t>
        </is>
      </c>
      <c r="J50" s="42" t="inlineStr">
        <is>
          <t>步数 ≤ 100</t>
        </is>
      </c>
      <c r="K50" s="42" t="inlineStr">
        <is>
          <t>实际执行 100 步（上限 100）</t>
        </is>
      </c>
      <c r="L50" s="42" t="inlineStr">
        <is>
          <t>OK</t>
        </is>
      </c>
      <c r="M50" s="42" t="inlineStr">
        <is>
          <t>边界值分析（步数上界）</t>
        </is>
      </c>
      <c r="N50" s="43" t="n"/>
    </row>
    <row r="51">
      <c r="A51" s="42" t="inlineStr">
        <is>
          <t>TC-ALG-050</t>
        </is>
      </c>
      <c r="B51" s="42" t="inlineStr">
        <is>
          <t>端到端场景</t>
        </is>
      </c>
      <c r="C51" s="42" t="inlineStr">
        <is>
          <t>回合必须终止，不占用评测时长</t>
        </is>
      </c>
      <c r="D51" s="42" t="inlineStr">
        <is>
          <t>High</t>
        </is>
      </c>
      <c r="E51" s="42" t="inlineStr">
        <is>
          <t>是</t>
        </is>
      </c>
      <c r="F51" s="42" t="inlineStr">
        <is>
          <t>新增</t>
        </is>
      </c>
      <c r="G51" s="42" t="inlineStr">
        <is>
          <t>评测总时长上限 120 s / 100 回合</t>
        </is>
      </c>
      <c r="H51" s="42" t="inlineStr">
        <is>
          <t>随机种子 1000 的回合</t>
        </is>
      </c>
      <c r="I51" s="42" t="inlineStr">
        <is>
          <t>跑完整回合并检查 env.terminated</t>
        </is>
      </c>
      <c r="J51" s="42" t="inlineStr">
        <is>
          <t>回合在 100 步内正常终止</t>
        </is>
      </c>
      <c r="K51" s="42" t="inlineStr">
        <is>
          <t>terminated=True，执行 100 步</t>
        </is>
      </c>
      <c r="L51" s="42" t="inlineStr">
        <is>
          <t>OK</t>
        </is>
      </c>
      <c r="M51" s="42" t="inlineStr">
        <is>
          <t>场景法（终止性）</t>
        </is>
      </c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5" right="0.5" top="0.5" bottom="0.5" header="0" footer="0"/>
  <pageSetup orientation="landscape" paperSize="9" scale="85" horizontalDpi="429496729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28125" defaultRowHeight="15.6"/>
  <cols>
    <col width="4.6328125" customWidth="1" style="1" min="1" max="1"/>
    <col width="67.6328125" customWidth="1" style="1" min="2" max="2"/>
    <col width="11.6328125" customWidth="1" style="1" min="3" max="16384"/>
  </cols>
  <sheetData>
    <row r="1" ht="16.2" customHeight="1">
      <c r="A1" s="45" t="inlineStr">
        <is>
          <t>Introduction 使用说明</t>
        </is>
      </c>
      <c r="B1" s="45" t="n"/>
      <c r="C1" s="2" t="n"/>
    </row>
    <row r="2" ht="28.8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6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8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6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2003-02-20T06:59:55Z</dcterms:created>
  <dcterms:modified xsi:type="dcterms:W3CDTF">2026-09-11T00:48:19Z</dcterms:modified>
  <cp:lastModifiedBy>user</cp:lastModifiedBy>
  <cp:lastPrinted>2003-12-15T03:50:21Z</cp:lastPrinted>
</cp:coreProperties>
</file>